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Raadsan Teach\Desktop\𝗗𝗮𝘁𝗮 𝗦𝗰𝗶𝗲𝗻𝗰𝗲 &amp; 𝗠𝗮𝗰𝗵𝗶𝗻𝗲 𝗟𝗲𝗮𝗿𝗻𝗶𝗻𝗴\excel_project\"/>
    </mc:Choice>
  </mc:AlternateContent>
  <xr:revisionPtr revIDLastSave="0" documentId="8_{F94A2101-F726-4F57-986D-72AD153440DF}" xr6:coauthVersionLast="47" xr6:coauthVersionMax="47" xr10:uidLastSave="{00000000-0000-0000-0000-000000000000}"/>
  <bookViews>
    <workbookView xWindow="-120" yWindow="-120" windowWidth="29040" windowHeight="15720" activeTab="2" xr2:uid="{9D7EAFDF-D859-4F86-87FA-928A73C89F4C}"/>
  </bookViews>
  <sheets>
    <sheet name="row-data" sheetId="1" r:id="rId1"/>
    <sheet name="cleaned-data" sheetId="7" r:id="rId2"/>
    <sheet name="PivotTables" sheetId="8" r:id="rId3"/>
    <sheet name="Dashbaord" sheetId="9" r:id="rId4"/>
    <sheet name="finding" sheetId="10" r:id="rId5"/>
  </sheets>
  <definedNames>
    <definedName name="NativeTimeline_Attendance_Date">#N/A</definedName>
    <definedName name="Slicer_Attendance_Status">#N/A</definedName>
    <definedName name="Slicer_Correct_Shift">#N/A</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9" l="1"/>
  <c r="Q7" i="9"/>
  <c r="N7" i="9"/>
  <c r="K7" i="9"/>
  <c r="H7" i="9"/>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S46" i="7" s="1"/>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T18" i="7"/>
  <c r="T17" i="7"/>
  <c r="T16" i="7"/>
  <c r="T15" i="7"/>
  <c r="T14" i="7"/>
  <c r="T13" i="7"/>
</calcChain>
</file>

<file path=xl/sharedStrings.xml><?xml version="1.0" encoding="utf-8"?>
<sst xmlns="http://schemas.openxmlformats.org/spreadsheetml/2006/main" count="3366" uniqueCount="277">
  <si>
    <t>Employee_ID</t>
  </si>
  <si>
    <t>Attendance_Date</t>
  </si>
  <si>
    <t>Department</t>
  </si>
  <si>
    <t>Shift</t>
  </si>
  <si>
    <t>Check_In</t>
  </si>
  <si>
    <t>Check_Out</t>
  </si>
  <si>
    <t>Attendance_Status</t>
  </si>
  <si>
    <t>EMP073</t>
  </si>
  <si>
    <t>Administration</t>
  </si>
  <si>
    <t>Morning</t>
  </si>
  <si>
    <t>14:08</t>
  </si>
  <si>
    <t>22:18</t>
  </si>
  <si>
    <t>Present</t>
  </si>
  <si>
    <t>EMP013</t>
  </si>
  <si>
    <t>HR</t>
  </si>
  <si>
    <t>14:03</t>
  </si>
  <si>
    <t>22:12</t>
  </si>
  <si>
    <t>EMP049</t>
  </si>
  <si>
    <t>Evening</t>
  </si>
  <si>
    <t>08:41</t>
  </si>
  <si>
    <t>17:10</t>
  </si>
  <si>
    <t>Late</t>
  </si>
  <si>
    <t>EMP080</t>
  </si>
  <si>
    <t>IT</t>
  </si>
  <si>
    <t>17:05</t>
  </si>
  <si>
    <t>EMP037</t>
  </si>
  <si>
    <t>Operations</t>
  </si>
  <si>
    <t>08:38</t>
  </si>
  <si>
    <t>17:21</t>
  </si>
  <si>
    <t>EMP016</t>
  </si>
  <si>
    <t>Finance</t>
  </si>
  <si>
    <t>08:04</t>
  </si>
  <si>
    <t>17:29</t>
  </si>
  <si>
    <t>Remote</t>
  </si>
  <si>
    <t>EMP027</t>
  </si>
  <si>
    <t>Sales</t>
  </si>
  <si>
    <t>MORNING</t>
  </si>
  <si>
    <t>08:10</t>
  </si>
  <si>
    <t>17:23</t>
  </si>
  <si>
    <t>EMP033</t>
  </si>
  <si>
    <t>-</t>
  </si>
  <si>
    <t>Absent</t>
  </si>
  <si>
    <t>EMP034</t>
  </si>
  <si>
    <t>08:09</t>
  </si>
  <si>
    <t>17:07</t>
  </si>
  <si>
    <t>EMP031</t>
  </si>
  <si>
    <t>EMP053</t>
  </si>
  <si>
    <t>08:01</t>
  </si>
  <si>
    <t>17:25</t>
  </si>
  <si>
    <t>EMP076</t>
  </si>
  <si>
    <t>08:08</t>
  </si>
  <si>
    <t>EMP040</t>
  </si>
  <si>
    <t>08:05</t>
  </si>
  <si>
    <t>EMP062</t>
  </si>
  <si>
    <t>08:00</t>
  </si>
  <si>
    <t>17:18</t>
  </si>
  <si>
    <t>EMP047</t>
  </si>
  <si>
    <t>EMP017</t>
  </si>
  <si>
    <t>08:06</t>
  </si>
  <si>
    <t>17:27</t>
  </si>
  <si>
    <t>EMP018</t>
  </si>
  <si>
    <t>17:19</t>
  </si>
  <si>
    <t>EMP046</t>
  </si>
  <si>
    <t>08:15</t>
  </si>
  <si>
    <t>17:15</t>
  </si>
  <si>
    <t>EMP042</t>
  </si>
  <si>
    <t>08:03</t>
  </si>
  <si>
    <t>17:13</t>
  </si>
  <si>
    <t>EMP012</t>
  </si>
  <si>
    <t>17:03</t>
  </si>
  <si>
    <t>EMP014</t>
  </si>
  <si>
    <t>EMP064</t>
  </si>
  <si>
    <t>17:06</t>
  </si>
  <si>
    <t>EMP011</t>
  </si>
  <si>
    <t>14:01</t>
  </si>
  <si>
    <t>22:24</t>
  </si>
  <si>
    <t>EMP008</t>
  </si>
  <si>
    <t>09:52</t>
  </si>
  <si>
    <t>EMP075</t>
  </si>
  <si>
    <t>EMP043</t>
  </si>
  <si>
    <t>EMP035</t>
  </si>
  <si>
    <t>EMP058</t>
  </si>
  <si>
    <t>14:07</t>
  </si>
  <si>
    <t>EMP044</t>
  </si>
  <si>
    <t>EMP066</t>
  </si>
  <si>
    <t>EMP061</t>
  </si>
  <si>
    <t>17:11</t>
  </si>
  <si>
    <t>EMP072</t>
  </si>
  <si>
    <t>22:01</t>
  </si>
  <si>
    <t>EMP074</t>
  </si>
  <si>
    <t>14:27</t>
  </si>
  <si>
    <t>22:26</t>
  </si>
  <si>
    <t>EMP026</t>
  </si>
  <si>
    <t>EMP020</t>
  </si>
  <si>
    <t>17:02</t>
  </si>
  <si>
    <t>EMP019</t>
  </si>
  <si>
    <t>N/A</t>
  </si>
  <si>
    <t>14:05</t>
  </si>
  <si>
    <t>22:22</t>
  </si>
  <si>
    <t>14:00</t>
  </si>
  <si>
    <t>22:11</t>
  </si>
  <si>
    <t>14:09</t>
  </si>
  <si>
    <t>22:14</t>
  </si>
  <si>
    <t>EMP029</t>
  </si>
  <si>
    <t>17:01</t>
  </si>
  <si>
    <t>EMP007</t>
  </si>
  <si>
    <t>EMP036</t>
  </si>
  <si>
    <t>22:29</t>
  </si>
  <si>
    <t>22:25</t>
  </si>
  <si>
    <t>EMP041</t>
  </si>
  <si>
    <t>EMP050</t>
  </si>
  <si>
    <t>08:02</t>
  </si>
  <si>
    <t>EMP009</t>
  </si>
  <si>
    <t>EMP071</t>
  </si>
  <si>
    <t>EMP078</t>
  </si>
  <si>
    <t>17:09</t>
  </si>
  <si>
    <t>22:27</t>
  </si>
  <si>
    <t>17:04</t>
  </si>
  <si>
    <t>EMP004</t>
  </si>
  <si>
    <t>EMP068</t>
  </si>
  <si>
    <t>17:24</t>
  </si>
  <si>
    <t>EMP063</t>
  </si>
  <si>
    <t>17:00</t>
  </si>
  <si>
    <t>08:07</t>
  </si>
  <si>
    <t>08:49</t>
  </si>
  <si>
    <t>15:54</t>
  </si>
  <si>
    <t>22:23</t>
  </si>
  <si>
    <t>EMP055</t>
  </si>
  <si>
    <t>22:07</t>
  </si>
  <si>
    <t>EMP077</t>
  </si>
  <si>
    <t>EMP005</t>
  </si>
  <si>
    <t>EMP023</t>
  </si>
  <si>
    <t>EMP021</t>
  </si>
  <si>
    <t>17:12</t>
  </si>
  <si>
    <t>EMP003</t>
  </si>
  <si>
    <t>14:04</t>
  </si>
  <si>
    <t>22:21</t>
  </si>
  <si>
    <t>evening</t>
  </si>
  <si>
    <t>14:17</t>
  </si>
  <si>
    <t>Unknown</t>
  </si>
  <si>
    <t>22:20</t>
  </si>
  <si>
    <t>EMP069</t>
  </si>
  <si>
    <t>22:02</t>
  </si>
  <si>
    <t>17:28</t>
  </si>
  <si>
    <t>14:02</t>
  </si>
  <si>
    <t>22:05</t>
  </si>
  <si>
    <t>17:26</t>
  </si>
  <si>
    <t>EMP022</t>
  </si>
  <si>
    <t>22:04</t>
  </si>
  <si>
    <t>EMP051</t>
  </si>
  <si>
    <t>17:08</t>
  </si>
  <si>
    <t>EMP059</t>
  </si>
  <si>
    <t>morning</t>
  </si>
  <si>
    <t>22:13</t>
  </si>
  <si>
    <t>NULL</t>
  </si>
  <si>
    <t>17:16</t>
  </si>
  <si>
    <t>EMP028</t>
  </si>
  <si>
    <t>08:24</t>
  </si>
  <si>
    <t>08:17</t>
  </si>
  <si>
    <t>14:11</t>
  </si>
  <si>
    <t>EMP002</t>
  </si>
  <si>
    <t>17:20</t>
  </si>
  <si>
    <t>EMP001</t>
  </si>
  <si>
    <t>14:14</t>
  </si>
  <si>
    <t>14:15</t>
  </si>
  <si>
    <t>22:06</t>
  </si>
  <si>
    <t>17:22</t>
  </si>
  <si>
    <t>EMP032</t>
  </si>
  <si>
    <t>EMP039</t>
  </si>
  <si>
    <t>14:06</t>
  </si>
  <si>
    <t>EMP067</t>
  </si>
  <si>
    <t>14:25</t>
  </si>
  <si>
    <t>EMP060</t>
  </si>
  <si>
    <t>EMP030</t>
  </si>
  <si>
    <t>14:30</t>
  </si>
  <si>
    <t>14:39</t>
  </si>
  <si>
    <t>22:09</t>
  </si>
  <si>
    <t>EMP079</t>
  </si>
  <si>
    <t>22:00</t>
  </si>
  <si>
    <t>09:54</t>
  </si>
  <si>
    <t>22:28</t>
  </si>
  <si>
    <t>08:11</t>
  </si>
  <si>
    <t>22:16</t>
  </si>
  <si>
    <t>EMP065</t>
  </si>
  <si>
    <t>22:30</t>
  </si>
  <si>
    <t>08:43</t>
  </si>
  <si>
    <t>17:14</t>
  </si>
  <si>
    <t>EMP025</t>
  </si>
  <si>
    <t>present</t>
  </si>
  <si>
    <t>08:34</t>
  </si>
  <si>
    <t>17:30</t>
  </si>
  <si>
    <t>EMP024</t>
  </si>
  <si>
    <t>EMP015</t>
  </si>
  <si>
    <t>08:19</t>
  </si>
  <si>
    <t>22:08</t>
  </si>
  <si>
    <t>14:23</t>
  </si>
  <si>
    <t>EMP038</t>
  </si>
  <si>
    <t>EMP006</t>
  </si>
  <si>
    <t>17:17</t>
  </si>
  <si>
    <t>EMP057</t>
  </si>
  <si>
    <t>08:20</t>
  </si>
  <si>
    <t>08:30</t>
  </si>
  <si>
    <t>EMP010</t>
  </si>
  <si>
    <t>EMP070</t>
  </si>
  <si>
    <t>08:18</t>
  </si>
  <si>
    <t>EMP054</t>
  </si>
  <si>
    <t>08:28</t>
  </si>
  <si>
    <t>08:22</t>
  </si>
  <si>
    <t>14:18</t>
  </si>
  <si>
    <t>09:55</t>
  </si>
  <si>
    <t>14:45</t>
  </si>
  <si>
    <t>22:15</t>
  </si>
  <si>
    <t>08:46</t>
  </si>
  <si>
    <t>22:19</t>
  </si>
  <si>
    <t>EVENING</t>
  </si>
  <si>
    <t>absent</t>
  </si>
  <si>
    <t>14:22</t>
  </si>
  <si>
    <t>EMP045</t>
  </si>
  <si>
    <t>14:31</t>
  </si>
  <si>
    <t>14:42</t>
  </si>
  <si>
    <t>08:39</t>
  </si>
  <si>
    <t>08:21</t>
  </si>
  <si>
    <t>08:26</t>
  </si>
  <si>
    <t>EMP048</t>
  </si>
  <si>
    <t>operations</t>
  </si>
  <si>
    <t>origin data</t>
  </si>
  <si>
    <t>duplicate</t>
  </si>
  <si>
    <t>after removing duplicate</t>
  </si>
  <si>
    <t>Column</t>
  </si>
  <si>
    <t>Missing</t>
  </si>
  <si>
    <t>Mode</t>
  </si>
  <si>
    <t>Check_In-based / Mode</t>
  </si>
  <si>
    <t>Median</t>
  </si>
  <si>
    <t>Logical rule / Mode</t>
  </si>
  <si>
    <t>Best Method</t>
  </si>
  <si>
    <t>Reason</t>
  </si>
  <si>
    <t>Delete rows</t>
  </si>
  <si>
    <t>ID is a unique identifier and cannot be reliably estimated.</t>
  </si>
  <si>
    <t>The correct attendance date cannot be reliably determined.</t>
  </si>
  <si>
    <t>Department is categorical, so the most frequent category can be used.</t>
  </si>
  <si>
    <t>If Check_In is available, it can indicate the appropriate shift; otherwise, use the mode.</t>
  </si>
  <si>
    <t>Time is numeric and the median is less affected by extreme values (outliers).</t>
  </si>
  <si>
    <t>Time is numeric and median is appropriate for handling missing time values.</t>
  </si>
  <si>
    <t>It can be inferred from Check_In and Check_Out; if it cannot be determined, use the mode.</t>
  </si>
  <si>
    <t>Column1</t>
  </si>
  <si>
    <t>Column2</t>
  </si>
  <si>
    <t>after removing blank-ids</t>
  </si>
  <si>
    <t>after removing-att-missing-date</t>
  </si>
  <si>
    <t>departments</t>
  </si>
  <si>
    <t>count</t>
  </si>
  <si>
    <t>Correct Shift</t>
  </si>
  <si>
    <t>Count</t>
  </si>
  <si>
    <t>check in Morning median</t>
  </si>
  <si>
    <t>check in Evening median</t>
  </si>
  <si>
    <t>Morning Check_Out Median</t>
  </si>
  <si>
    <t>Evening Check_Out Median</t>
  </si>
  <si>
    <t>Row Labels</t>
  </si>
  <si>
    <t>Grand Total</t>
  </si>
  <si>
    <t>Column Labels</t>
  </si>
  <si>
    <t>Count of Employee_ID</t>
  </si>
  <si>
    <t>EMPLOYEE ATTENDENCE DASHBOARD</t>
  </si>
  <si>
    <t>Total Records</t>
  </si>
  <si>
    <t>Findings</t>
  </si>
  <si>
    <r>
      <t xml:space="preserve">The dataset originally contained </t>
    </r>
    <r>
      <rPr>
        <b/>
        <sz val="11"/>
        <color theme="1"/>
        <rFont val="Calibri"/>
        <family val="2"/>
        <scheme val="minor"/>
      </rPr>
      <t>300 employee attendance records</t>
    </r>
    <r>
      <rPr>
        <sz val="11"/>
        <color theme="1"/>
        <rFont val="Calibri"/>
        <family val="2"/>
        <scheme val="minor"/>
      </rPr>
      <t>.</t>
    </r>
  </si>
  <si>
    <r>
      <t>7 duplicate records</t>
    </r>
    <r>
      <rPr>
        <sz val="11"/>
        <color theme="1"/>
        <rFont val="Calibri"/>
        <family val="2"/>
        <scheme val="minor"/>
      </rPr>
      <t xml:space="preserve"> were identified and removed.</t>
    </r>
  </si>
  <si>
    <r>
      <t>15 records with missing Employee_ID</t>
    </r>
    <r>
      <rPr>
        <sz val="11"/>
        <color theme="1"/>
        <rFont val="Calibri"/>
        <family val="2"/>
        <scheme val="minor"/>
      </rPr>
      <t xml:space="preserve"> were removed because the ID is a unique identifier.</t>
    </r>
  </si>
  <si>
    <r>
      <t>17 records with missing Attendance_Date</t>
    </r>
    <r>
      <rPr>
        <sz val="11"/>
        <color theme="1"/>
        <rFont val="Calibri"/>
        <family val="2"/>
        <scheme val="minor"/>
      </rPr>
      <t xml:space="preserve"> were removed because the correct date could not be reliably determined.</t>
    </r>
  </si>
  <si>
    <r>
      <t xml:space="preserve">The final cleaned dataset contains </t>
    </r>
    <r>
      <rPr>
        <b/>
        <sz val="11"/>
        <color theme="1"/>
        <rFont val="Calibri"/>
        <family val="2"/>
        <scheme val="minor"/>
      </rPr>
      <t>261 valid records</t>
    </r>
    <r>
      <rPr>
        <sz val="11"/>
        <color theme="1"/>
        <rFont val="Calibri"/>
        <family val="2"/>
        <scheme val="minor"/>
      </rPr>
      <t>.</t>
    </r>
  </si>
  <si>
    <r>
      <t>IT</t>
    </r>
    <r>
      <rPr>
        <sz val="11"/>
        <color theme="1"/>
        <rFont val="Calibri"/>
        <family val="2"/>
        <scheme val="minor"/>
      </rPr>
      <t xml:space="preserve"> had the highest number of attendance records among the departments.</t>
    </r>
  </si>
  <si>
    <r>
      <t>Morning shift</t>
    </r>
    <r>
      <rPr>
        <sz val="11"/>
        <color theme="1"/>
        <rFont val="Calibri"/>
        <family val="2"/>
        <scheme val="minor"/>
      </rPr>
      <t xml:space="preserve"> had more records than the Evening shift.</t>
    </r>
  </si>
  <si>
    <r>
      <t xml:space="preserve">Some inconsistencies were found in </t>
    </r>
    <r>
      <rPr>
        <b/>
        <sz val="11"/>
        <color theme="1"/>
        <rFont val="Calibri"/>
        <family val="2"/>
        <scheme val="minor"/>
      </rPr>
      <t>Department, Shift, Check_In, Check_Out, and Attendance_Status</t>
    </r>
    <r>
      <rPr>
        <sz val="11"/>
        <color theme="1"/>
        <rFont val="Calibri"/>
        <family val="2"/>
        <scheme val="minor"/>
      </rPr>
      <t xml:space="preserve"> and were standardized.</t>
    </r>
  </si>
  <si>
    <r>
      <t xml:space="preserve">Missing time values in Check_In and Check_Out were handled using </t>
    </r>
    <r>
      <rPr>
        <b/>
        <sz val="11"/>
        <color theme="1"/>
        <rFont val="Calibri"/>
        <family val="2"/>
        <scheme val="minor"/>
      </rPr>
      <t>median-based imputation</t>
    </r>
    <r>
      <rPr>
        <sz val="11"/>
        <color theme="1"/>
        <rFont val="Calibri"/>
        <family val="2"/>
        <scheme val="minor"/>
      </rPr>
      <t xml:space="preserve">, while categorical missing values were handled using the </t>
    </r>
    <r>
      <rPr>
        <b/>
        <sz val="11"/>
        <color theme="1"/>
        <rFont val="Calibri"/>
        <family val="2"/>
        <scheme val="minor"/>
      </rPr>
      <t>mode or logical rules</t>
    </r>
    <r>
      <rPr>
        <sz val="11"/>
        <color theme="1"/>
        <rFont val="Calibri"/>
        <family val="2"/>
        <scheme val="minor"/>
      </rPr>
      <t>.</t>
    </r>
  </si>
  <si>
    <t>Recommendations</t>
  </si>
  <si>
    <r>
      <t>1. Improve attendance data entry</t>
    </r>
    <r>
      <rPr>
        <sz val="11"/>
        <color theme="1"/>
        <rFont val="Calibri"/>
        <family val="2"/>
        <scheme val="minor"/>
      </rPr>
      <t xml:space="preserve"> by making Employee_ID and Attendance_Date required fields.</t>
    </r>
  </si>
  <si>
    <r>
      <t>2. Use standardized values</t>
    </r>
    <r>
      <rPr>
        <sz val="11"/>
        <color theme="1"/>
        <rFont val="Calibri"/>
        <family val="2"/>
        <scheme val="minor"/>
      </rPr>
      <t xml:space="preserve"> for Department, Shift, and Attendance_Status to prevent inconsistent entries.</t>
    </r>
  </si>
  <si>
    <r>
      <t>3. Use a fixed time format (</t>
    </r>
    <r>
      <rPr>
        <b/>
        <sz val="10"/>
        <color theme="1"/>
        <rFont val="Arial Unicode MS"/>
      </rPr>
      <t>HH:MM</t>
    </r>
    <r>
      <rPr>
        <b/>
        <sz val="11"/>
        <color theme="1"/>
        <rFont val="Calibri"/>
        <family val="2"/>
        <scheme val="minor"/>
      </rPr>
      <t>)</t>
    </r>
    <r>
      <rPr>
        <sz val="11"/>
        <color theme="1"/>
        <rFont val="Calibri"/>
        <family val="2"/>
        <scheme val="minor"/>
      </rPr>
      <t xml:space="preserve"> for Check_In and Check_Out.</t>
    </r>
  </si>
  <si>
    <r>
      <t>4. Validate Shift against Check_In time</t>
    </r>
    <r>
      <rPr>
        <sz val="11"/>
        <color theme="1"/>
        <rFont val="Calibri"/>
        <family val="2"/>
        <scheme val="minor"/>
      </rPr>
      <t xml:space="preserve"> to detect incorrect shift assignments.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</si>
</sst>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
  </numFmts>
  <fonts count="13">
    <font>
      <sz val="11"/>
      <color theme="1"/>
      <name val="Calibri"/>
      <family val="2"/>
      <scheme val="minor"/>
    </font>
    <font>
      <b/>
      <sz val="11"/>
      <name val="Carlito"/>
    </font>
    <font>
      <b/>
      <sz val="11"/>
      <color theme="1"/>
      <name val="Calibri"/>
      <family val="2"/>
      <scheme val="minor"/>
    </font>
    <font>
      <b/>
      <sz val="11"/>
      <color theme="0"/>
      <name val="Calibri"/>
      <family val="2"/>
      <scheme val="minor"/>
    </font>
    <font>
      <sz val="22"/>
      <color theme="1"/>
      <name val="Calibri"/>
      <family val="2"/>
      <scheme val="minor"/>
    </font>
    <font>
      <b/>
      <sz val="24"/>
      <color theme="0"/>
      <name val="Calibri"/>
      <family val="2"/>
      <scheme val="minor"/>
    </font>
    <font>
      <sz val="14"/>
      <color theme="1"/>
      <name val="Calibri"/>
      <family val="2"/>
      <scheme val="minor"/>
    </font>
    <font>
      <sz val="11"/>
      <color theme="4" tint="-0.499984740745262"/>
      <name val="Calibri"/>
      <family val="2"/>
      <scheme val="minor"/>
    </font>
    <font>
      <b/>
      <sz val="14"/>
      <color theme="0"/>
      <name val="Calibri"/>
      <family val="2"/>
      <scheme val="minor"/>
    </font>
    <font>
      <sz val="18"/>
      <color theme="0"/>
      <name val="Calibri"/>
      <family val="2"/>
      <scheme val="minor"/>
    </font>
    <font>
      <sz val="14"/>
      <color theme="0"/>
      <name val="Calibri"/>
      <family val="2"/>
      <scheme val="minor"/>
    </font>
    <font>
      <b/>
      <sz val="13.5"/>
      <color theme="1"/>
      <name val="Calibri"/>
      <family val="2"/>
      <scheme val="minor"/>
    </font>
    <font>
      <b/>
      <sz val="10"/>
      <color theme="1"/>
      <name val="Arial Unicode MS"/>
    </font>
  </fonts>
  <fills count="9">
    <fill>
      <patternFill patternType="none"/>
    </fill>
    <fill>
      <patternFill patternType="gray125"/>
    </fill>
    <fill>
      <patternFill patternType="solid">
        <fgColor rgb="FFD9EAF7"/>
      </patternFill>
    </fill>
    <fill>
      <patternFill patternType="solid">
        <fgColor theme="4" tint="-0.249977111117893"/>
        <bgColor indexed="64"/>
      </patternFill>
    </fill>
    <fill>
      <patternFill patternType="solid">
        <fgColor theme="0"/>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rgb="FF00B050"/>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164" fontId="0" fillId="0" borderId="0" xfId="0" applyNumberFormat="1"/>
    <xf numFmtId="0" fontId="2" fillId="0" borderId="0" xfId="0" applyFont="1" applyAlignment="1">
      <alignment horizontal="center" vertical="center" wrapText="1"/>
    </xf>
    <xf numFmtId="20" fontId="0" fillId="0" borderId="0" xfId="0" applyNumberFormat="1"/>
    <xf numFmtId="165" fontId="0" fillId="0" borderId="0" xfId="0" applyNumberFormat="1"/>
    <xf numFmtId="20" fontId="0" fillId="0" borderId="0" xfId="0" applyNumberFormat="1" applyAlignment="1">
      <alignment vertical="center" wrapText="1"/>
    </xf>
    <xf numFmtId="0" fontId="0" fillId="0" borderId="0" xfId="0" pivotButton="1"/>
    <xf numFmtId="0" fontId="0" fillId="0" borderId="0" xfId="0" applyAlignment="1">
      <alignment horizontal="left"/>
    </xf>
    <xf numFmtId="0" fontId="4" fillId="0" borderId="0" xfId="0" applyFont="1"/>
    <xf numFmtId="0" fontId="6" fillId="0" borderId="0" xfId="0" applyFont="1"/>
    <xf numFmtId="0" fontId="0" fillId="5" borderId="0" xfId="0" applyFill="1"/>
    <xf numFmtId="0" fontId="5" fillId="5" borderId="0" xfId="0" applyFont="1" applyFill="1"/>
    <xf numFmtId="0" fontId="7" fillId="5" borderId="0" xfId="0" applyFont="1" applyFill="1"/>
    <xf numFmtId="0" fontId="8" fillId="4" borderId="0" xfId="0" applyFont="1" applyFill="1"/>
    <xf numFmtId="0" fontId="9" fillId="4" borderId="0" xfId="0" applyFont="1" applyFill="1"/>
    <xf numFmtId="165" fontId="0" fillId="0" borderId="0" xfId="0" applyNumberFormat="1" applyAlignment="1">
      <alignment horizontal="left"/>
    </xf>
    <xf numFmtId="0" fontId="1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7" borderId="0" xfId="0" applyFill="1"/>
    <xf numFmtId="0" fontId="8" fillId="7" borderId="0" xfId="0" applyFont="1" applyFill="1"/>
    <xf numFmtId="0" fontId="9" fillId="7" borderId="0" xfId="0" applyFont="1" applyFill="1"/>
    <xf numFmtId="14" fontId="0" fillId="0" borderId="0" xfId="0" applyNumberFormat="1"/>
    <xf numFmtId="0" fontId="3" fillId="5" borderId="0" xfId="0" applyFont="1" applyFill="1" applyAlignment="1">
      <alignment horizontal="center"/>
    </xf>
    <xf numFmtId="0" fontId="8" fillId="5" borderId="0" xfId="0" applyFont="1" applyFill="1" applyAlignment="1">
      <alignment horizontal="center"/>
    </xf>
    <xf numFmtId="0" fontId="9" fillId="5" borderId="0" xfId="0" applyFont="1" applyFill="1" applyAlignment="1">
      <alignment horizontal="center"/>
    </xf>
    <xf numFmtId="0" fontId="9" fillId="8" borderId="0" xfId="0" applyFont="1" applyFill="1" applyAlignment="1">
      <alignment horizontal="center"/>
    </xf>
    <xf numFmtId="0" fontId="8" fillId="6" borderId="0" xfId="0" applyFont="1" applyFill="1" applyAlignment="1">
      <alignment horizontal="center"/>
    </xf>
    <xf numFmtId="0" fontId="9" fillId="6" borderId="0" xfId="0" applyFont="1" applyFill="1" applyAlignment="1">
      <alignment horizontal="center"/>
    </xf>
    <xf numFmtId="0" fontId="10" fillId="3" borderId="0" xfId="0" applyFont="1" applyFill="1" applyAlignment="1">
      <alignment horizontal="center"/>
    </xf>
    <xf numFmtId="0" fontId="9" fillId="3" borderId="0" xfId="0" applyFont="1" applyFill="1" applyAlignment="1">
      <alignment horizontal="center"/>
    </xf>
    <xf numFmtId="0" fontId="8" fillId="8" borderId="0" xfId="0" applyFont="1" applyFill="1" applyAlignment="1">
      <alignment horizontal="center"/>
    </xf>
    <xf numFmtId="0" fontId="0" fillId="0" borderId="0" xfId="0" applyNumberFormat="1"/>
  </cellXfs>
  <cellStyles count="1">
    <cellStyle name="Normal" xfId="0" builtinId="0"/>
  </cellStyles>
  <dxfs count="7">
    <dxf>
      <numFmt numFmtId="164" formatCode="yyyy\-mm\-dd"/>
    </dxf>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5" formatCode="h:mm"/>
      <alignment horizontal="general" vertical="center" textRotation="0" wrapText="1" indent="0" justifyLastLine="0" shrinkToFit="0" readingOrder="0"/>
    </dxf>
    <dxf>
      <numFmt numFmtId="165" formatCode="hh:mm"/>
    </dxf>
    <dxf>
      <numFmt numFmtId="165" formatCode="hh:mm"/>
      <alignment horizontal="left" vertical="bottom" textRotation="0" wrapText="0" indent="0" justifyLastLine="0" shrinkToFit="0" readingOrder="0"/>
    </dxf>
    <dxf>
      <numFmt numFmtId="165" formatCode="hh:mm"/>
      <alignment horizontal="left" vertical="bottom"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Status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PivotTables!$B$3:$B$4</c:f>
              <c:strCache>
                <c:ptCount val="1"/>
                <c:pt idx="0">
                  <c:v>Absent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PivotTables!$B$5:$B$11</c:f>
              <c:numCache>
                <c:formatCode>General</c:formatCode>
                <c:ptCount val="6"/>
                <c:pt idx="0">
                  <c:v>2</c:v>
                </c:pt>
                <c:pt idx="1">
                  <c:v>3</c:v>
                </c:pt>
                <c:pt idx="2">
                  <c:v>1</c:v>
                </c:pt>
                <c:pt idx="3">
                  <c:v>7</c:v>
                </c:pt>
                <c:pt idx="4">
                  <c:v>2</c:v>
                </c:pt>
                <c:pt idx="5">
                  <c:v>6</c:v>
                </c:pt>
              </c:numCache>
            </c:numRef>
          </c:val>
          <c:extLst>
            <c:ext xmlns:c16="http://schemas.microsoft.com/office/drawing/2014/chart" uri="{C3380CC4-5D6E-409C-BE32-E72D297353CC}">
              <c16:uniqueId val="{00000000-8FBA-4F9C-B488-0161CA6BFB6E}"/>
            </c:ext>
          </c:extLst>
        </c:ser>
        <c:ser>
          <c:idx val="1"/>
          <c:order val="1"/>
          <c:tx>
            <c:strRef>
              <c:f>PivotTables!$C$3:$C$4</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PivotTables!$C$5:$C$11</c:f>
              <c:numCache>
                <c:formatCode>General</c:formatCode>
                <c:ptCount val="6"/>
                <c:pt idx="0">
                  <c:v>6</c:v>
                </c:pt>
                <c:pt idx="1">
                  <c:v>9</c:v>
                </c:pt>
                <c:pt idx="2">
                  <c:v>2</c:v>
                </c:pt>
                <c:pt idx="3">
                  <c:v>13</c:v>
                </c:pt>
                <c:pt idx="4">
                  <c:v>6</c:v>
                </c:pt>
                <c:pt idx="5">
                  <c:v>9</c:v>
                </c:pt>
              </c:numCache>
            </c:numRef>
          </c:val>
          <c:extLst>
            <c:ext xmlns:c16="http://schemas.microsoft.com/office/drawing/2014/chart" uri="{C3380CC4-5D6E-409C-BE32-E72D297353CC}">
              <c16:uniqueId val="{00000000-981A-4353-8E0C-D814DB20945C}"/>
            </c:ext>
          </c:extLst>
        </c:ser>
        <c:ser>
          <c:idx val="2"/>
          <c:order val="2"/>
          <c:tx>
            <c:strRef>
              <c:f>PivotTables!$D$3:$D$4</c:f>
              <c:strCache>
                <c:ptCount val="1"/>
                <c:pt idx="0">
                  <c:v>Present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PivotTables!$D$5:$D$11</c:f>
              <c:numCache>
                <c:formatCode>General</c:formatCode>
                <c:ptCount val="6"/>
                <c:pt idx="0">
                  <c:v>16</c:v>
                </c:pt>
                <c:pt idx="1">
                  <c:v>30</c:v>
                </c:pt>
                <c:pt idx="2">
                  <c:v>15</c:v>
                </c:pt>
                <c:pt idx="3">
                  <c:v>49</c:v>
                </c:pt>
                <c:pt idx="4">
                  <c:v>36</c:v>
                </c:pt>
                <c:pt idx="5">
                  <c:v>22</c:v>
                </c:pt>
              </c:numCache>
            </c:numRef>
          </c:val>
          <c:extLst>
            <c:ext xmlns:c16="http://schemas.microsoft.com/office/drawing/2014/chart" uri="{C3380CC4-5D6E-409C-BE32-E72D297353CC}">
              <c16:uniqueId val="{00000001-981A-4353-8E0C-D814DB20945C}"/>
            </c:ext>
          </c:extLst>
        </c:ser>
        <c:ser>
          <c:idx val="3"/>
          <c:order val="3"/>
          <c:tx>
            <c:strRef>
              <c:f>PivotTables!$E$3:$E$4</c:f>
              <c:strCache>
                <c:ptCount val="1"/>
                <c:pt idx="0">
                  <c:v>Remote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PivotTables!$E$5:$E$11</c:f>
              <c:numCache>
                <c:formatCode>General</c:formatCode>
                <c:ptCount val="6"/>
                <c:pt idx="0">
                  <c:v>6</c:v>
                </c:pt>
                <c:pt idx="1">
                  <c:v>3</c:v>
                </c:pt>
                <c:pt idx="2">
                  <c:v>2</c:v>
                </c:pt>
                <c:pt idx="3">
                  <c:v>7</c:v>
                </c:pt>
                <c:pt idx="4">
                  <c:v>7</c:v>
                </c:pt>
                <c:pt idx="5">
                  <c:v>2</c:v>
                </c:pt>
              </c:numCache>
            </c:numRef>
          </c:val>
          <c:extLst>
            <c:ext xmlns:c16="http://schemas.microsoft.com/office/drawing/2014/chart" uri="{C3380CC4-5D6E-409C-BE32-E72D297353CC}">
              <c16:uniqueId val="{00000002-981A-4353-8E0C-D814DB20945C}"/>
            </c:ext>
          </c:extLst>
        </c:ser>
        <c:dLbls>
          <c:dLblPos val="outEnd"/>
          <c:showLegendKey val="0"/>
          <c:showVal val="1"/>
          <c:showCatName val="0"/>
          <c:showSerName val="0"/>
          <c:showPercent val="0"/>
          <c:showBubbleSize val="0"/>
        </c:dLbls>
        <c:gapWidth val="219"/>
        <c:overlap val="-27"/>
        <c:axId val="455938591"/>
        <c:axId val="162725871"/>
      </c:barChart>
      <c:catAx>
        <c:axId val="455938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5871"/>
        <c:crosses val="autoZero"/>
        <c:auto val="1"/>
        <c:lblAlgn val="ctr"/>
        <c:lblOffset val="100"/>
        <c:noMultiLvlLbl val="0"/>
      </c:catAx>
      <c:valAx>
        <c:axId val="1627258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3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tx1"/>
          </a:solidFill>
          <a:ln>
            <a:noFill/>
          </a:ln>
          <a:effectLst/>
        </c:spPr>
      </c:pivotFmt>
      <c:pivotFmt>
        <c:idx val="3"/>
        <c:spPr>
          <a:solidFill>
            <a:schemeClr val="bg2"/>
          </a:solidFill>
          <a:ln>
            <a:noFill/>
          </a:ln>
          <a:effectLst/>
        </c:spPr>
      </c:pivotFmt>
      <c:pivotFmt>
        <c:idx val="4"/>
        <c:spPr>
          <a:solidFill>
            <a:schemeClr val="accent6">
              <a:lumMod val="50000"/>
            </a:schemeClr>
          </a:solidFill>
          <a:ln>
            <a:noFill/>
          </a:ln>
          <a:effectLst/>
        </c:spPr>
      </c:pivotFmt>
      <c:pivotFmt>
        <c:idx val="5"/>
        <c:spPr>
          <a:solidFill>
            <a:schemeClr val="accent4"/>
          </a:solidFill>
          <a:ln>
            <a:noFill/>
          </a:ln>
          <a:effectLst/>
        </c:spPr>
      </c:pivotFmt>
    </c:pivotFmts>
    <c:plotArea>
      <c:layout/>
      <c:barChart>
        <c:barDir val="col"/>
        <c:grouping val="clustered"/>
        <c:varyColors val="0"/>
        <c:ser>
          <c:idx val="0"/>
          <c:order val="0"/>
          <c:tx>
            <c:strRef>
              <c:f>PivotTables!$B$19</c:f>
              <c:strCache>
                <c:ptCount val="1"/>
                <c:pt idx="0">
                  <c:v>Total</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4-F79A-4C11-A2A5-6A008DF5317B}"/>
              </c:ext>
            </c:extLst>
          </c:dPt>
          <c:dPt>
            <c:idx val="1"/>
            <c:invertIfNegative val="0"/>
            <c:bubble3D val="0"/>
            <c:spPr>
              <a:solidFill>
                <a:schemeClr val="tx1"/>
              </a:solidFill>
              <a:ln>
                <a:noFill/>
              </a:ln>
              <a:effectLst/>
            </c:spPr>
            <c:extLst>
              <c:ext xmlns:c16="http://schemas.microsoft.com/office/drawing/2014/chart" uri="{C3380CC4-5D6E-409C-BE32-E72D297353CC}">
                <c16:uniqueId val="{00000003-F79A-4C11-A2A5-6A008DF5317B}"/>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F79A-4C11-A2A5-6A008DF5317B}"/>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5-F79A-4C11-A2A5-6A008DF5317B}"/>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6-F79A-4C11-A2A5-6A008DF5317B}"/>
              </c:ext>
            </c:extLst>
          </c:dPt>
          <c:cat>
            <c:strRef>
              <c:f>PivotTables!$A$20:$A$26</c:f>
              <c:strCache>
                <c:ptCount val="6"/>
                <c:pt idx="0">
                  <c:v>Administration</c:v>
                </c:pt>
                <c:pt idx="1">
                  <c:v>Finance</c:v>
                </c:pt>
                <c:pt idx="2">
                  <c:v>HR</c:v>
                </c:pt>
                <c:pt idx="3">
                  <c:v>IT</c:v>
                </c:pt>
                <c:pt idx="4">
                  <c:v>Operations</c:v>
                </c:pt>
                <c:pt idx="5">
                  <c:v>Sales</c:v>
                </c:pt>
              </c:strCache>
            </c:strRef>
          </c:cat>
          <c:val>
            <c:numRef>
              <c:f>PivotTables!$B$20:$B$26</c:f>
              <c:numCache>
                <c:formatCode>General</c:formatCode>
                <c:ptCount val="6"/>
                <c:pt idx="0">
                  <c:v>30</c:v>
                </c:pt>
                <c:pt idx="1">
                  <c:v>45</c:v>
                </c:pt>
                <c:pt idx="2">
                  <c:v>20</c:v>
                </c:pt>
                <c:pt idx="3">
                  <c:v>76</c:v>
                </c:pt>
                <c:pt idx="4">
                  <c:v>51</c:v>
                </c:pt>
                <c:pt idx="5">
                  <c:v>39</c:v>
                </c:pt>
              </c:numCache>
            </c:numRef>
          </c:val>
          <c:extLst>
            <c:ext xmlns:c16="http://schemas.microsoft.com/office/drawing/2014/chart" uri="{C3380CC4-5D6E-409C-BE32-E72D297353CC}">
              <c16:uniqueId val="{00000000-F79A-4C11-A2A5-6A008DF5317B}"/>
            </c:ext>
          </c:extLst>
        </c:ser>
        <c:dLbls>
          <c:showLegendKey val="0"/>
          <c:showVal val="0"/>
          <c:showCatName val="0"/>
          <c:showSerName val="0"/>
          <c:showPercent val="0"/>
          <c:showBubbleSize val="0"/>
        </c:dLbls>
        <c:gapWidth val="219"/>
        <c:overlap val="-27"/>
        <c:axId val="660541775"/>
        <c:axId val="162717711"/>
      </c:barChart>
      <c:catAx>
        <c:axId val="6605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7711"/>
        <c:crosses val="autoZero"/>
        <c:auto val="1"/>
        <c:lblAlgn val="ctr"/>
        <c:lblOffset val="100"/>
        <c:noMultiLvlLbl val="0"/>
      </c:catAx>
      <c:valAx>
        <c:axId val="16271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41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by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PivotTables!$B$39:$B$40</c:f>
              <c:strCache>
                <c:ptCount val="1"/>
                <c:pt idx="0">
                  <c:v>Absent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PivotTables!$B$41:$B$43</c:f>
              <c:numCache>
                <c:formatCode>General</c:formatCode>
                <c:ptCount val="2"/>
                <c:pt idx="0">
                  <c:v>6</c:v>
                </c:pt>
                <c:pt idx="1">
                  <c:v>15</c:v>
                </c:pt>
              </c:numCache>
            </c:numRef>
          </c:val>
          <c:extLst>
            <c:ext xmlns:c16="http://schemas.microsoft.com/office/drawing/2014/chart" uri="{C3380CC4-5D6E-409C-BE32-E72D297353CC}">
              <c16:uniqueId val="{00000000-40A2-418F-888E-EEE239283106}"/>
            </c:ext>
          </c:extLst>
        </c:ser>
        <c:ser>
          <c:idx val="1"/>
          <c:order val="1"/>
          <c:tx>
            <c:strRef>
              <c:f>PivotTables!$C$39:$C$40</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PivotTables!$C$41:$C$43</c:f>
              <c:numCache>
                <c:formatCode>General</c:formatCode>
                <c:ptCount val="2"/>
                <c:pt idx="0">
                  <c:v>16</c:v>
                </c:pt>
                <c:pt idx="1">
                  <c:v>29</c:v>
                </c:pt>
              </c:numCache>
            </c:numRef>
          </c:val>
          <c:extLst>
            <c:ext xmlns:c16="http://schemas.microsoft.com/office/drawing/2014/chart" uri="{C3380CC4-5D6E-409C-BE32-E72D297353CC}">
              <c16:uniqueId val="{00000000-1BB6-4C02-93AF-001C89273A1F}"/>
            </c:ext>
          </c:extLst>
        </c:ser>
        <c:ser>
          <c:idx val="2"/>
          <c:order val="2"/>
          <c:tx>
            <c:strRef>
              <c:f>PivotTables!$D$39:$D$40</c:f>
              <c:strCache>
                <c:ptCount val="1"/>
                <c:pt idx="0">
                  <c:v>Present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PivotTables!$D$41:$D$43</c:f>
              <c:numCache>
                <c:formatCode>General</c:formatCode>
                <c:ptCount val="2"/>
                <c:pt idx="0">
                  <c:v>58</c:v>
                </c:pt>
                <c:pt idx="1">
                  <c:v>110</c:v>
                </c:pt>
              </c:numCache>
            </c:numRef>
          </c:val>
          <c:extLst>
            <c:ext xmlns:c16="http://schemas.microsoft.com/office/drawing/2014/chart" uri="{C3380CC4-5D6E-409C-BE32-E72D297353CC}">
              <c16:uniqueId val="{00000001-1BB6-4C02-93AF-001C89273A1F}"/>
            </c:ext>
          </c:extLst>
        </c:ser>
        <c:ser>
          <c:idx val="3"/>
          <c:order val="3"/>
          <c:tx>
            <c:strRef>
              <c:f>PivotTables!$E$39:$E$40</c:f>
              <c:strCache>
                <c:ptCount val="1"/>
                <c:pt idx="0">
                  <c:v>Remote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PivotTables!$E$41:$E$43</c:f>
              <c:numCache>
                <c:formatCode>General</c:formatCode>
                <c:ptCount val="2"/>
                <c:pt idx="0">
                  <c:v>8</c:v>
                </c:pt>
                <c:pt idx="1">
                  <c:v>19</c:v>
                </c:pt>
              </c:numCache>
            </c:numRef>
          </c:val>
          <c:extLst>
            <c:ext xmlns:c16="http://schemas.microsoft.com/office/drawing/2014/chart" uri="{C3380CC4-5D6E-409C-BE32-E72D297353CC}">
              <c16:uniqueId val="{00000002-1BB6-4C02-93AF-001C89273A1F}"/>
            </c:ext>
          </c:extLst>
        </c:ser>
        <c:dLbls>
          <c:dLblPos val="ctr"/>
          <c:showLegendKey val="0"/>
          <c:showVal val="1"/>
          <c:showCatName val="0"/>
          <c:showSerName val="0"/>
          <c:showPercent val="0"/>
          <c:showBubbleSize val="0"/>
        </c:dLbls>
        <c:gapWidth val="150"/>
        <c:overlap val="100"/>
        <c:axId val="663698943"/>
        <c:axId val="162700431"/>
      </c:barChart>
      <c:catAx>
        <c:axId val="6636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0431"/>
        <c:crosses val="autoZero"/>
        <c:auto val="1"/>
        <c:lblAlgn val="ctr"/>
        <c:lblOffset val="100"/>
        <c:noMultiLvlLbl val="0"/>
      </c:catAx>
      <c:valAx>
        <c:axId val="1627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Status Overall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FFC000"/>
          </a:solidFill>
          <a:ln>
            <a:noFill/>
          </a:ln>
          <a:effectLst/>
        </c:spPr>
      </c:pivotFmt>
      <c:pivotFmt>
        <c:idx val="3"/>
        <c:spPr>
          <a:solidFill>
            <a:srgbClr val="FF0000"/>
          </a:solidFill>
          <a:ln>
            <a:noFill/>
          </a:ln>
          <a:effectLst/>
        </c:spPr>
      </c:pivotFmt>
    </c:pivotFmts>
    <c:plotArea>
      <c:layout/>
      <c:barChart>
        <c:barDir val="col"/>
        <c:grouping val="clustered"/>
        <c:varyColors val="0"/>
        <c:ser>
          <c:idx val="0"/>
          <c:order val="0"/>
          <c:tx>
            <c:strRef>
              <c:f>PivotTables!$B$60</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2DCF-4A1E-BFBC-A38CA98F323D}"/>
              </c:ext>
            </c:extLst>
          </c:dPt>
          <c:dPt>
            <c:idx val="1"/>
            <c:invertIfNegative val="0"/>
            <c:bubble3D val="0"/>
            <c:spPr>
              <a:solidFill>
                <a:srgbClr val="FFC000"/>
              </a:solidFill>
              <a:ln>
                <a:noFill/>
              </a:ln>
              <a:effectLst/>
            </c:spPr>
            <c:extLst>
              <c:ext xmlns:c16="http://schemas.microsoft.com/office/drawing/2014/chart" uri="{C3380CC4-5D6E-409C-BE32-E72D297353CC}">
                <c16:uniqueId val="{00000003-2DCF-4A1E-BFBC-A38CA98F323D}"/>
              </c:ext>
            </c:extLst>
          </c:dPt>
          <c:dPt>
            <c:idx val="2"/>
            <c:invertIfNegative val="0"/>
            <c:bubble3D val="0"/>
            <c:spPr>
              <a:solidFill>
                <a:srgbClr val="92D050"/>
              </a:solidFill>
              <a:ln>
                <a:noFill/>
              </a:ln>
              <a:effectLst/>
            </c:spPr>
            <c:extLst>
              <c:ext xmlns:c16="http://schemas.microsoft.com/office/drawing/2014/chart" uri="{C3380CC4-5D6E-409C-BE32-E72D297353CC}">
                <c16:uniqueId val="{00000002-2DCF-4A1E-BFBC-A38CA98F323D}"/>
              </c:ext>
            </c:extLst>
          </c:dPt>
          <c:dPt>
            <c:idx val="3"/>
            <c:invertIfNegative val="0"/>
            <c:bubble3D val="0"/>
            <c:spPr>
              <a:solidFill>
                <a:srgbClr val="FF0000"/>
              </a:solidFill>
              <a:ln>
                <a:noFill/>
              </a:ln>
              <a:effectLst/>
            </c:spPr>
            <c:extLst>
              <c:ext xmlns:c16="http://schemas.microsoft.com/office/drawing/2014/chart" uri="{C3380CC4-5D6E-409C-BE32-E72D297353CC}">
                <c16:uniqueId val="{00000007-85AD-4FAF-8267-7C3BAAFF79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PivotTables!$A$61:$A$65</c:f>
              <c:strCache>
                <c:ptCount val="4"/>
                <c:pt idx="0">
                  <c:v>Absent</c:v>
                </c:pt>
                <c:pt idx="1">
                  <c:v>Late</c:v>
                </c:pt>
                <c:pt idx="2">
                  <c:v>Present</c:v>
                </c:pt>
                <c:pt idx="3">
                  <c:v>Remote</c:v>
                </c:pt>
              </c:strCache>
            </c:strRef>
          </c:cat>
          <c:val>
            <c:numRef>
              <c:f>PivotTables!$B$61:$B$65</c:f>
              <c:numCache>
                <c:formatCode>General</c:formatCode>
                <c:ptCount val="4"/>
                <c:pt idx="0">
                  <c:v>21</c:v>
                </c:pt>
                <c:pt idx="1">
                  <c:v>45</c:v>
                </c:pt>
                <c:pt idx="2">
                  <c:v>168</c:v>
                </c:pt>
                <c:pt idx="3">
                  <c:v>27</c:v>
                </c:pt>
              </c:numCache>
            </c:numRef>
          </c:val>
          <c:extLst>
            <c:ext xmlns:c16="http://schemas.microsoft.com/office/drawing/2014/chart" uri="{C3380CC4-5D6E-409C-BE32-E72D297353CC}">
              <c16:uniqueId val="{00000000-2DCF-4A1E-BFBC-A38CA98F323D}"/>
            </c:ext>
          </c:extLst>
        </c:ser>
        <c:dLbls>
          <c:dLblPos val="outEnd"/>
          <c:showLegendKey val="0"/>
          <c:showVal val="1"/>
          <c:showCatName val="0"/>
          <c:showSerName val="0"/>
          <c:showPercent val="0"/>
          <c:showBubbleSize val="0"/>
        </c:dLbls>
        <c:gapWidth val="219"/>
        <c:overlap val="-27"/>
        <c:axId val="663692447"/>
        <c:axId val="162714351"/>
      </c:barChart>
      <c:catAx>
        <c:axId val="6636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4351"/>
        <c:crosses val="autoZero"/>
        <c:auto val="1"/>
        <c:lblAlgn val="ctr"/>
        <c:lblOffset val="100"/>
        <c:noMultiLvlLbl val="0"/>
      </c:catAx>
      <c:valAx>
        <c:axId val="16271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Status by Department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48128259698977"/>
          <c:y val="0.28359922613669519"/>
          <c:w val="0.58472628745338673"/>
          <c:h val="0.44940811708314632"/>
        </c:manualLayout>
      </c:layout>
      <c:barChart>
        <c:barDir val="col"/>
        <c:grouping val="clustered"/>
        <c:varyColors val="0"/>
        <c:ser>
          <c:idx val="0"/>
          <c:order val="0"/>
          <c:tx>
            <c:strRef>
              <c:f>PivotTables!$B$3:$B$4</c:f>
              <c:strCache>
                <c:ptCount val="1"/>
                <c:pt idx="0">
                  <c:v>Absent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PivotTables!$B$5:$B$11</c:f>
              <c:numCache>
                <c:formatCode>General</c:formatCode>
                <c:ptCount val="6"/>
                <c:pt idx="0">
                  <c:v>2</c:v>
                </c:pt>
                <c:pt idx="1">
                  <c:v>3</c:v>
                </c:pt>
                <c:pt idx="2">
                  <c:v>1</c:v>
                </c:pt>
                <c:pt idx="3">
                  <c:v>7</c:v>
                </c:pt>
                <c:pt idx="4">
                  <c:v>2</c:v>
                </c:pt>
                <c:pt idx="5">
                  <c:v>6</c:v>
                </c:pt>
              </c:numCache>
            </c:numRef>
          </c:val>
          <c:extLst>
            <c:ext xmlns:c16="http://schemas.microsoft.com/office/drawing/2014/chart" uri="{C3380CC4-5D6E-409C-BE32-E72D297353CC}">
              <c16:uniqueId val="{00000000-761A-40C0-A255-E4F0F78624AB}"/>
            </c:ext>
          </c:extLst>
        </c:ser>
        <c:ser>
          <c:idx val="1"/>
          <c:order val="1"/>
          <c:tx>
            <c:strRef>
              <c:f>PivotTables!$C$3:$C$4</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PivotTables!$C$5:$C$11</c:f>
              <c:numCache>
                <c:formatCode>General</c:formatCode>
                <c:ptCount val="6"/>
                <c:pt idx="0">
                  <c:v>6</c:v>
                </c:pt>
                <c:pt idx="1">
                  <c:v>9</c:v>
                </c:pt>
                <c:pt idx="2">
                  <c:v>2</c:v>
                </c:pt>
                <c:pt idx="3">
                  <c:v>13</c:v>
                </c:pt>
                <c:pt idx="4">
                  <c:v>6</c:v>
                </c:pt>
                <c:pt idx="5">
                  <c:v>9</c:v>
                </c:pt>
              </c:numCache>
            </c:numRef>
          </c:val>
          <c:extLst>
            <c:ext xmlns:c16="http://schemas.microsoft.com/office/drawing/2014/chart" uri="{C3380CC4-5D6E-409C-BE32-E72D297353CC}">
              <c16:uniqueId val="{00000000-5907-470D-B64D-F340798E8DC6}"/>
            </c:ext>
          </c:extLst>
        </c:ser>
        <c:ser>
          <c:idx val="2"/>
          <c:order val="2"/>
          <c:tx>
            <c:strRef>
              <c:f>PivotTables!$D$3:$D$4</c:f>
              <c:strCache>
                <c:ptCount val="1"/>
                <c:pt idx="0">
                  <c:v>Present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PivotTables!$D$5:$D$11</c:f>
              <c:numCache>
                <c:formatCode>General</c:formatCode>
                <c:ptCount val="6"/>
                <c:pt idx="0">
                  <c:v>16</c:v>
                </c:pt>
                <c:pt idx="1">
                  <c:v>30</c:v>
                </c:pt>
                <c:pt idx="2">
                  <c:v>15</c:v>
                </c:pt>
                <c:pt idx="3">
                  <c:v>49</c:v>
                </c:pt>
                <c:pt idx="4">
                  <c:v>36</c:v>
                </c:pt>
                <c:pt idx="5">
                  <c:v>22</c:v>
                </c:pt>
              </c:numCache>
            </c:numRef>
          </c:val>
          <c:extLst>
            <c:ext xmlns:c16="http://schemas.microsoft.com/office/drawing/2014/chart" uri="{C3380CC4-5D6E-409C-BE32-E72D297353CC}">
              <c16:uniqueId val="{00000001-5907-470D-B64D-F340798E8DC6}"/>
            </c:ext>
          </c:extLst>
        </c:ser>
        <c:ser>
          <c:idx val="3"/>
          <c:order val="3"/>
          <c:tx>
            <c:strRef>
              <c:f>PivotTables!$E$3:$E$4</c:f>
              <c:strCache>
                <c:ptCount val="1"/>
                <c:pt idx="0">
                  <c:v>Remote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PivotTables!$A$5:$A$11</c:f>
              <c:strCache>
                <c:ptCount val="6"/>
                <c:pt idx="0">
                  <c:v>Administration</c:v>
                </c:pt>
                <c:pt idx="1">
                  <c:v>Finance</c:v>
                </c:pt>
                <c:pt idx="2">
                  <c:v>HR</c:v>
                </c:pt>
                <c:pt idx="3">
                  <c:v>IT</c:v>
                </c:pt>
                <c:pt idx="4">
                  <c:v>Operations</c:v>
                </c:pt>
                <c:pt idx="5">
                  <c:v>Sales</c:v>
                </c:pt>
              </c:strCache>
            </c:strRef>
          </c:cat>
          <c:val>
            <c:numRef>
              <c:f>PivotTables!$E$5:$E$11</c:f>
              <c:numCache>
                <c:formatCode>General</c:formatCode>
                <c:ptCount val="6"/>
                <c:pt idx="0">
                  <c:v>6</c:v>
                </c:pt>
                <c:pt idx="1">
                  <c:v>3</c:v>
                </c:pt>
                <c:pt idx="2">
                  <c:v>2</c:v>
                </c:pt>
                <c:pt idx="3">
                  <c:v>7</c:v>
                </c:pt>
                <c:pt idx="4">
                  <c:v>7</c:v>
                </c:pt>
                <c:pt idx="5">
                  <c:v>2</c:v>
                </c:pt>
              </c:numCache>
            </c:numRef>
          </c:val>
          <c:extLst>
            <c:ext xmlns:c16="http://schemas.microsoft.com/office/drawing/2014/chart" uri="{C3380CC4-5D6E-409C-BE32-E72D297353CC}">
              <c16:uniqueId val="{00000002-5907-470D-B64D-F340798E8DC6}"/>
            </c:ext>
          </c:extLst>
        </c:ser>
        <c:dLbls>
          <c:dLblPos val="outEnd"/>
          <c:showLegendKey val="0"/>
          <c:showVal val="1"/>
          <c:showCatName val="0"/>
          <c:showSerName val="0"/>
          <c:showPercent val="0"/>
          <c:showBubbleSize val="0"/>
        </c:dLbls>
        <c:gapWidth val="219"/>
        <c:overlap val="-27"/>
        <c:axId val="455938591"/>
        <c:axId val="162725871"/>
      </c:barChart>
      <c:catAx>
        <c:axId val="455938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5871"/>
        <c:crosses val="autoZero"/>
        <c:auto val="1"/>
        <c:lblAlgn val="ctr"/>
        <c:lblOffset val="100"/>
        <c:noMultiLvlLbl val="0"/>
      </c:catAx>
      <c:valAx>
        <c:axId val="1627258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3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tx1"/>
          </a:solidFill>
          <a:ln>
            <a:noFill/>
          </a:ln>
          <a:effectLst/>
        </c:spPr>
      </c:pivotFmt>
      <c:pivotFmt>
        <c:idx val="3"/>
        <c:spPr>
          <a:solidFill>
            <a:schemeClr val="bg2"/>
          </a:solidFill>
          <a:ln>
            <a:noFill/>
          </a:ln>
          <a:effectLst/>
        </c:spPr>
      </c:pivotFmt>
      <c:pivotFmt>
        <c:idx val="4"/>
        <c:spPr>
          <a:solidFill>
            <a:schemeClr val="accent6">
              <a:lumMod val="50000"/>
            </a:schemeClr>
          </a:solidFill>
          <a:ln>
            <a:noFill/>
          </a:ln>
          <a:effectLst/>
        </c:spPr>
      </c:pivotFmt>
      <c:pivotFmt>
        <c:idx val="5"/>
        <c:spPr>
          <a:solidFill>
            <a:schemeClr val="accent4"/>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solidFill>
          <a:ln>
            <a:noFill/>
          </a:ln>
          <a:effectLst/>
        </c:spPr>
      </c:pivotFmt>
      <c:pivotFmt>
        <c:idx val="8"/>
        <c:spPr>
          <a:solidFill>
            <a:schemeClr val="tx1"/>
          </a:solidFill>
          <a:ln>
            <a:noFill/>
          </a:ln>
          <a:effectLst/>
        </c:spPr>
      </c:pivotFmt>
      <c:pivotFmt>
        <c:idx val="9"/>
        <c:spPr>
          <a:solidFill>
            <a:schemeClr val="accent2"/>
          </a:solidFill>
          <a:ln>
            <a:noFill/>
          </a:ln>
          <a:effectLst/>
        </c:spPr>
      </c:pivotFmt>
      <c:pivotFmt>
        <c:idx val="10"/>
        <c:spPr>
          <a:solidFill>
            <a:schemeClr val="accent6">
              <a:lumMod val="50000"/>
            </a:schemeClr>
          </a:solidFill>
          <a:ln>
            <a:noFill/>
          </a:ln>
          <a:effectLst/>
        </c:spPr>
      </c:pivotFmt>
      <c:pivotFmt>
        <c:idx val="11"/>
        <c:spPr>
          <a:solidFill>
            <a:schemeClr val="accent4"/>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solidFill>
          <a:ln>
            <a:noFill/>
          </a:ln>
          <a:effectLst/>
        </c:spPr>
      </c:pivotFmt>
      <c:pivotFmt>
        <c:idx val="14"/>
        <c:spPr>
          <a:solidFill>
            <a:schemeClr val="tx1"/>
          </a:solidFill>
          <a:ln>
            <a:noFill/>
          </a:ln>
          <a:effectLst/>
        </c:spPr>
      </c:pivotFmt>
      <c:pivotFmt>
        <c:idx val="15"/>
        <c:spPr>
          <a:solidFill>
            <a:schemeClr val="accent2"/>
          </a:solidFill>
          <a:ln>
            <a:noFill/>
          </a:ln>
          <a:effectLst/>
        </c:spPr>
      </c:pivotFmt>
      <c:pivotFmt>
        <c:idx val="16"/>
        <c:spPr>
          <a:solidFill>
            <a:schemeClr val="accent6">
              <a:lumMod val="50000"/>
            </a:schemeClr>
          </a:solidFill>
          <a:ln>
            <a:noFill/>
          </a:ln>
          <a:effectLst/>
        </c:spPr>
      </c:pivotFmt>
      <c:pivotFmt>
        <c:idx val="17"/>
        <c:spPr>
          <a:solidFill>
            <a:schemeClr val="accent4"/>
          </a:solidFill>
          <a:ln>
            <a:noFill/>
          </a:ln>
          <a:effectLst/>
        </c:spPr>
      </c:pivotFmt>
    </c:pivotFmts>
    <c:plotArea>
      <c:layout/>
      <c:barChart>
        <c:barDir val="col"/>
        <c:grouping val="clustered"/>
        <c:varyColors val="0"/>
        <c:ser>
          <c:idx val="0"/>
          <c:order val="0"/>
          <c:tx>
            <c:strRef>
              <c:f>PivotTables!$B$19</c:f>
              <c:strCache>
                <c:ptCount val="1"/>
                <c:pt idx="0">
                  <c:v>Total</c:v>
                </c:pt>
              </c:strCache>
            </c:strRef>
          </c:tx>
          <c:spPr>
            <a:solidFill>
              <a:schemeClr val="accent1"/>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1-CFAF-46D1-965C-E14A57923736}"/>
              </c:ext>
            </c:extLst>
          </c:dPt>
          <c:dPt>
            <c:idx val="1"/>
            <c:invertIfNegative val="0"/>
            <c:bubble3D val="0"/>
            <c:spPr>
              <a:solidFill>
                <a:schemeClr val="tx1"/>
              </a:solidFill>
              <a:ln>
                <a:noFill/>
              </a:ln>
              <a:effectLst/>
            </c:spPr>
            <c:extLst>
              <c:ext xmlns:c16="http://schemas.microsoft.com/office/drawing/2014/chart" uri="{C3380CC4-5D6E-409C-BE32-E72D297353CC}">
                <c16:uniqueId val="{00000003-CFAF-46D1-965C-E14A57923736}"/>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CFAF-46D1-965C-E14A57923736}"/>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7-CFAF-46D1-965C-E14A57923736}"/>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9-CFAF-46D1-965C-E14A57923736}"/>
              </c:ext>
            </c:extLst>
          </c:dPt>
          <c:cat>
            <c:strRef>
              <c:f>PivotTables!$A$20:$A$26</c:f>
              <c:strCache>
                <c:ptCount val="6"/>
                <c:pt idx="0">
                  <c:v>Administration</c:v>
                </c:pt>
                <c:pt idx="1">
                  <c:v>Finance</c:v>
                </c:pt>
                <c:pt idx="2">
                  <c:v>HR</c:v>
                </c:pt>
                <c:pt idx="3">
                  <c:v>IT</c:v>
                </c:pt>
                <c:pt idx="4">
                  <c:v>Operations</c:v>
                </c:pt>
                <c:pt idx="5">
                  <c:v>Sales</c:v>
                </c:pt>
              </c:strCache>
            </c:strRef>
          </c:cat>
          <c:val>
            <c:numRef>
              <c:f>PivotTables!$B$20:$B$26</c:f>
              <c:numCache>
                <c:formatCode>General</c:formatCode>
                <c:ptCount val="6"/>
                <c:pt idx="0">
                  <c:v>30</c:v>
                </c:pt>
                <c:pt idx="1">
                  <c:v>45</c:v>
                </c:pt>
                <c:pt idx="2">
                  <c:v>20</c:v>
                </c:pt>
                <c:pt idx="3">
                  <c:v>76</c:v>
                </c:pt>
                <c:pt idx="4">
                  <c:v>51</c:v>
                </c:pt>
                <c:pt idx="5">
                  <c:v>39</c:v>
                </c:pt>
              </c:numCache>
            </c:numRef>
          </c:val>
          <c:extLst>
            <c:ext xmlns:c16="http://schemas.microsoft.com/office/drawing/2014/chart" uri="{C3380CC4-5D6E-409C-BE32-E72D297353CC}">
              <c16:uniqueId val="{0000000A-CFAF-46D1-965C-E14A57923736}"/>
            </c:ext>
          </c:extLst>
        </c:ser>
        <c:dLbls>
          <c:showLegendKey val="0"/>
          <c:showVal val="0"/>
          <c:showCatName val="0"/>
          <c:showSerName val="0"/>
          <c:showPercent val="0"/>
          <c:showBubbleSize val="0"/>
        </c:dLbls>
        <c:gapWidth val="219"/>
        <c:overlap val="-27"/>
        <c:axId val="660541775"/>
        <c:axId val="162717711"/>
      </c:barChart>
      <c:catAx>
        <c:axId val="6605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7711"/>
        <c:crosses val="autoZero"/>
        <c:auto val="1"/>
        <c:lblAlgn val="ctr"/>
        <c:lblOffset val="100"/>
        <c:noMultiLvlLbl val="0"/>
      </c:catAx>
      <c:valAx>
        <c:axId val="162717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41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by Shift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PivotTables!$B$39:$B$40</c:f>
              <c:strCache>
                <c:ptCount val="1"/>
                <c:pt idx="0">
                  <c:v>Absent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PivotTables!$B$41:$B$43</c:f>
              <c:numCache>
                <c:formatCode>General</c:formatCode>
                <c:ptCount val="2"/>
                <c:pt idx="0">
                  <c:v>6</c:v>
                </c:pt>
                <c:pt idx="1">
                  <c:v>15</c:v>
                </c:pt>
              </c:numCache>
            </c:numRef>
          </c:val>
          <c:extLst>
            <c:ext xmlns:c16="http://schemas.microsoft.com/office/drawing/2014/chart" uri="{C3380CC4-5D6E-409C-BE32-E72D297353CC}">
              <c16:uniqueId val="{00000000-71AF-49A2-BB07-B288FA423651}"/>
            </c:ext>
          </c:extLst>
        </c:ser>
        <c:ser>
          <c:idx val="1"/>
          <c:order val="1"/>
          <c:tx>
            <c:strRef>
              <c:f>PivotTables!$C$39:$C$40</c:f>
              <c:strCache>
                <c:ptCount val="1"/>
                <c:pt idx="0">
                  <c:v>Late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PivotTables!$C$41:$C$43</c:f>
              <c:numCache>
                <c:formatCode>General</c:formatCode>
                <c:ptCount val="2"/>
                <c:pt idx="0">
                  <c:v>16</c:v>
                </c:pt>
                <c:pt idx="1">
                  <c:v>29</c:v>
                </c:pt>
              </c:numCache>
            </c:numRef>
          </c:val>
          <c:extLst>
            <c:ext xmlns:c16="http://schemas.microsoft.com/office/drawing/2014/chart" uri="{C3380CC4-5D6E-409C-BE32-E72D297353CC}">
              <c16:uniqueId val="{00000000-D401-425E-8E99-D41981BC0373}"/>
            </c:ext>
          </c:extLst>
        </c:ser>
        <c:ser>
          <c:idx val="2"/>
          <c:order val="2"/>
          <c:tx>
            <c:strRef>
              <c:f>PivotTables!$D$39:$D$40</c:f>
              <c:strCache>
                <c:ptCount val="1"/>
                <c:pt idx="0">
                  <c:v>Present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PivotTables!$D$41:$D$43</c:f>
              <c:numCache>
                <c:formatCode>General</c:formatCode>
                <c:ptCount val="2"/>
                <c:pt idx="0">
                  <c:v>58</c:v>
                </c:pt>
                <c:pt idx="1">
                  <c:v>110</c:v>
                </c:pt>
              </c:numCache>
            </c:numRef>
          </c:val>
          <c:extLst>
            <c:ext xmlns:c16="http://schemas.microsoft.com/office/drawing/2014/chart" uri="{C3380CC4-5D6E-409C-BE32-E72D297353CC}">
              <c16:uniqueId val="{00000001-D401-425E-8E99-D41981BC0373}"/>
            </c:ext>
          </c:extLst>
        </c:ser>
        <c:ser>
          <c:idx val="3"/>
          <c:order val="3"/>
          <c:tx>
            <c:strRef>
              <c:f>PivotTables!$E$39:$E$40</c:f>
              <c:strCache>
                <c:ptCount val="1"/>
                <c:pt idx="0">
                  <c:v>Remote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PivotTables!$A$41:$A$43</c:f>
              <c:strCache>
                <c:ptCount val="2"/>
                <c:pt idx="0">
                  <c:v>Evening</c:v>
                </c:pt>
                <c:pt idx="1">
                  <c:v>Morning</c:v>
                </c:pt>
              </c:strCache>
            </c:strRef>
          </c:cat>
          <c:val>
            <c:numRef>
              <c:f>PivotTables!$E$41:$E$43</c:f>
              <c:numCache>
                <c:formatCode>General</c:formatCode>
                <c:ptCount val="2"/>
                <c:pt idx="0">
                  <c:v>8</c:v>
                </c:pt>
                <c:pt idx="1">
                  <c:v>19</c:v>
                </c:pt>
              </c:numCache>
            </c:numRef>
          </c:val>
          <c:extLst>
            <c:ext xmlns:c16="http://schemas.microsoft.com/office/drawing/2014/chart" uri="{C3380CC4-5D6E-409C-BE32-E72D297353CC}">
              <c16:uniqueId val="{00000002-D401-425E-8E99-D41981BC0373}"/>
            </c:ext>
          </c:extLst>
        </c:ser>
        <c:dLbls>
          <c:dLblPos val="ctr"/>
          <c:showLegendKey val="0"/>
          <c:showVal val="1"/>
          <c:showCatName val="0"/>
          <c:showSerName val="0"/>
          <c:showPercent val="0"/>
          <c:showBubbleSize val="0"/>
        </c:dLbls>
        <c:gapWidth val="150"/>
        <c:overlap val="100"/>
        <c:axId val="663698943"/>
        <c:axId val="162700431"/>
      </c:barChart>
      <c:catAx>
        <c:axId val="6636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0431"/>
        <c:crosses val="autoZero"/>
        <c:auto val="1"/>
        <c:lblAlgn val="ctr"/>
        <c:lblOffset val="100"/>
        <c:noMultiLvlLbl val="0"/>
      </c:catAx>
      <c:valAx>
        <c:axId val="16270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Data Analysis.xlsx]PivotTables!PivotTable4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Status Overall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FFC000"/>
          </a:solidFill>
          <a:ln>
            <a:noFill/>
          </a:ln>
          <a:effectLst/>
        </c:spPr>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FFC000"/>
          </a:solidFill>
          <a:ln>
            <a:noFill/>
          </a:ln>
          <a:effectLst/>
        </c:spPr>
      </c:pivotFmt>
      <c:pivotFmt>
        <c:idx val="7"/>
        <c:spPr>
          <a:solidFill>
            <a:srgbClr val="92D050"/>
          </a:solidFill>
          <a:ln>
            <a:noFill/>
          </a:ln>
          <a:effectLst/>
        </c:spPr>
      </c:pivotFmt>
      <c:pivotFmt>
        <c:idx val="8"/>
        <c:spPr>
          <a:solidFill>
            <a:srgbClr val="FF00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FFC000"/>
          </a:solidFill>
          <a:ln>
            <a:noFill/>
          </a:ln>
          <a:effectLst/>
        </c:spPr>
      </c:pivotFmt>
      <c:pivotFmt>
        <c:idx val="12"/>
        <c:spPr>
          <a:solidFill>
            <a:srgbClr val="92D050"/>
          </a:solidFill>
          <a:ln>
            <a:noFill/>
          </a:ln>
          <a:effectLst/>
        </c:spPr>
      </c:pivotFmt>
      <c:pivotFmt>
        <c:idx val="13"/>
        <c:spPr>
          <a:solidFill>
            <a:srgbClr val="FF0000"/>
          </a:solidFill>
          <a:ln>
            <a:noFill/>
          </a:ln>
          <a:effectLst/>
        </c:spPr>
      </c:pivotFmt>
    </c:pivotFmts>
    <c:plotArea>
      <c:layout/>
      <c:barChart>
        <c:barDir val="col"/>
        <c:grouping val="clustered"/>
        <c:varyColors val="0"/>
        <c:ser>
          <c:idx val="0"/>
          <c:order val="0"/>
          <c:tx>
            <c:strRef>
              <c:f>PivotTables!$B$60</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3455-4687-B428-5018AE4130BC}"/>
              </c:ext>
            </c:extLst>
          </c:dPt>
          <c:dPt>
            <c:idx val="1"/>
            <c:invertIfNegative val="0"/>
            <c:bubble3D val="0"/>
            <c:spPr>
              <a:solidFill>
                <a:srgbClr val="FFC000"/>
              </a:solidFill>
              <a:ln>
                <a:noFill/>
              </a:ln>
              <a:effectLst/>
            </c:spPr>
            <c:extLst>
              <c:ext xmlns:c16="http://schemas.microsoft.com/office/drawing/2014/chart" uri="{C3380CC4-5D6E-409C-BE32-E72D297353CC}">
                <c16:uniqueId val="{00000003-3455-4687-B428-5018AE4130BC}"/>
              </c:ext>
            </c:extLst>
          </c:dPt>
          <c:dPt>
            <c:idx val="2"/>
            <c:invertIfNegative val="0"/>
            <c:bubble3D val="0"/>
            <c:spPr>
              <a:solidFill>
                <a:srgbClr val="92D050"/>
              </a:solidFill>
              <a:ln>
                <a:noFill/>
              </a:ln>
              <a:effectLst/>
            </c:spPr>
            <c:extLst>
              <c:ext xmlns:c16="http://schemas.microsoft.com/office/drawing/2014/chart" uri="{C3380CC4-5D6E-409C-BE32-E72D297353CC}">
                <c16:uniqueId val="{00000005-3455-4687-B428-5018AE4130BC}"/>
              </c:ext>
            </c:extLst>
          </c:dPt>
          <c:dPt>
            <c:idx val="3"/>
            <c:invertIfNegative val="0"/>
            <c:bubble3D val="0"/>
            <c:spPr>
              <a:solidFill>
                <a:srgbClr val="FF0000"/>
              </a:solidFill>
              <a:ln>
                <a:noFill/>
              </a:ln>
              <a:effectLst/>
            </c:spPr>
            <c:extLst>
              <c:ext xmlns:c16="http://schemas.microsoft.com/office/drawing/2014/chart" uri="{C3380CC4-5D6E-409C-BE32-E72D297353CC}">
                <c16:uniqueId val="{00000007-3455-4687-B428-5018AE4130BC}"/>
              </c:ext>
            </c:extLst>
          </c:dPt>
          <c:cat>
            <c:strRef>
              <c:f>PivotTables!$A$61:$A$65</c:f>
              <c:strCache>
                <c:ptCount val="4"/>
                <c:pt idx="0">
                  <c:v>Absent</c:v>
                </c:pt>
                <c:pt idx="1">
                  <c:v>Late</c:v>
                </c:pt>
                <c:pt idx="2">
                  <c:v>Present</c:v>
                </c:pt>
                <c:pt idx="3">
                  <c:v>Remote</c:v>
                </c:pt>
              </c:strCache>
            </c:strRef>
          </c:cat>
          <c:val>
            <c:numRef>
              <c:f>PivotTables!$B$61:$B$65</c:f>
              <c:numCache>
                <c:formatCode>General</c:formatCode>
                <c:ptCount val="4"/>
                <c:pt idx="0">
                  <c:v>21</c:v>
                </c:pt>
                <c:pt idx="1">
                  <c:v>45</c:v>
                </c:pt>
                <c:pt idx="2">
                  <c:v>168</c:v>
                </c:pt>
                <c:pt idx="3">
                  <c:v>27</c:v>
                </c:pt>
              </c:numCache>
            </c:numRef>
          </c:val>
          <c:extLst>
            <c:ext xmlns:c16="http://schemas.microsoft.com/office/drawing/2014/chart" uri="{C3380CC4-5D6E-409C-BE32-E72D297353CC}">
              <c16:uniqueId val="{00000008-3455-4687-B428-5018AE4130BC}"/>
            </c:ext>
          </c:extLst>
        </c:ser>
        <c:dLbls>
          <c:showLegendKey val="0"/>
          <c:showVal val="0"/>
          <c:showCatName val="0"/>
          <c:showSerName val="0"/>
          <c:showPercent val="0"/>
          <c:showBubbleSize val="0"/>
        </c:dLbls>
        <c:gapWidth val="219"/>
        <c:overlap val="-27"/>
        <c:axId val="663692447"/>
        <c:axId val="162714351"/>
      </c:barChart>
      <c:catAx>
        <c:axId val="66369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4351"/>
        <c:crosses val="autoZero"/>
        <c:auto val="1"/>
        <c:lblAlgn val="ctr"/>
        <c:lblOffset val="100"/>
        <c:noMultiLvlLbl val="0"/>
      </c:catAx>
      <c:valAx>
        <c:axId val="16271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69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9525</xdr:colOff>
      <xdr:row>2</xdr:row>
      <xdr:rowOff>119062</xdr:rowOff>
    </xdr:from>
    <xdr:to>
      <xdr:col>14</xdr:col>
      <xdr:colOff>390525</xdr:colOff>
      <xdr:row>17</xdr:row>
      <xdr:rowOff>4762</xdr:rowOff>
    </xdr:to>
    <xdr:graphicFrame macro="">
      <xdr:nvGraphicFramePr>
        <xdr:cNvPr id="2" name="Chart 1">
          <a:extLst>
            <a:ext uri="{FF2B5EF4-FFF2-40B4-BE49-F238E27FC236}">
              <a16:creationId xmlns:a16="http://schemas.microsoft.com/office/drawing/2014/main" id="{2E58FE18-B6B8-9F28-0DC8-8DFA8BC1B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18</xdr:row>
      <xdr:rowOff>52387</xdr:rowOff>
    </xdr:from>
    <xdr:to>
      <xdr:col>14</xdr:col>
      <xdr:colOff>371475</xdr:colOff>
      <xdr:row>32</xdr:row>
      <xdr:rowOff>128587</xdr:rowOff>
    </xdr:to>
    <xdr:graphicFrame macro="">
      <xdr:nvGraphicFramePr>
        <xdr:cNvPr id="3" name="Chart 2">
          <a:extLst>
            <a:ext uri="{FF2B5EF4-FFF2-40B4-BE49-F238E27FC236}">
              <a16:creationId xmlns:a16="http://schemas.microsoft.com/office/drawing/2014/main" id="{DCDF80FA-2897-0EBE-E477-74D5F44B8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604837</xdr:colOff>
      <xdr:row>37</xdr:row>
      <xdr:rowOff>176212</xdr:rowOff>
    </xdr:from>
    <xdr:to>
      <xdr:col>14</xdr:col>
      <xdr:colOff>376237</xdr:colOff>
      <xdr:row>52</xdr:row>
      <xdr:rowOff>61912</xdr:rowOff>
    </xdr:to>
    <xdr:graphicFrame macro="">
      <xdr:nvGraphicFramePr>
        <xdr:cNvPr id="4" name="Chart 3">
          <a:extLst>
            <a:ext uri="{FF2B5EF4-FFF2-40B4-BE49-F238E27FC236}">
              <a16:creationId xmlns:a16="http://schemas.microsoft.com/office/drawing/2014/main" id="{8899B7CB-4AB2-BCA9-59F7-03C5E9C17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595312</xdr:colOff>
      <xdr:row>57</xdr:row>
      <xdr:rowOff>166687</xdr:rowOff>
    </xdr:from>
    <xdr:to>
      <xdr:col>14</xdr:col>
      <xdr:colOff>366712</xdr:colOff>
      <xdr:row>72</xdr:row>
      <xdr:rowOff>52387</xdr:rowOff>
    </xdr:to>
    <xdr:graphicFrame macro="">
      <xdr:nvGraphicFramePr>
        <xdr:cNvPr id="5" name="Chart 4">
          <a:extLst>
            <a:ext uri="{FF2B5EF4-FFF2-40B4-BE49-F238E27FC236}">
              <a16:creationId xmlns:a16="http://schemas.microsoft.com/office/drawing/2014/main" id="{C24F6C13-1A7F-CE47-515A-76359812B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8</xdr:row>
      <xdr:rowOff>9525</xdr:rowOff>
    </xdr:from>
    <xdr:to>
      <xdr:col>10</xdr:col>
      <xdr:colOff>19050</xdr:colOff>
      <xdr:row>21</xdr:row>
      <xdr:rowOff>171450</xdr:rowOff>
    </xdr:to>
    <xdr:graphicFrame macro="">
      <xdr:nvGraphicFramePr>
        <xdr:cNvPr id="4" name="Chart 3">
          <a:extLst>
            <a:ext uri="{FF2B5EF4-FFF2-40B4-BE49-F238E27FC236}">
              <a16:creationId xmlns:a16="http://schemas.microsoft.com/office/drawing/2014/main" id="{EEA6ADC2-A662-46FF-B6A8-423949059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676275</xdr:colOff>
      <xdr:row>7</xdr:row>
      <xdr:rowOff>180975</xdr:rowOff>
    </xdr:from>
    <xdr:to>
      <xdr:col>18</xdr:col>
      <xdr:colOff>9525</xdr:colOff>
      <xdr:row>21</xdr:row>
      <xdr:rowOff>171450</xdr:rowOff>
    </xdr:to>
    <xdr:graphicFrame macro="">
      <xdr:nvGraphicFramePr>
        <xdr:cNvPr id="5" name="Chart 4">
          <a:extLst>
            <a:ext uri="{FF2B5EF4-FFF2-40B4-BE49-F238E27FC236}">
              <a16:creationId xmlns:a16="http://schemas.microsoft.com/office/drawing/2014/main" id="{C5A703D8-8DEA-4BA0-A3D3-F06CD997B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552450</xdr:colOff>
      <xdr:row>23</xdr:row>
      <xdr:rowOff>161925</xdr:rowOff>
    </xdr:from>
    <xdr:to>
      <xdr:col>10</xdr:col>
      <xdr:colOff>0</xdr:colOff>
      <xdr:row>38</xdr:row>
      <xdr:rowOff>47625</xdr:rowOff>
    </xdr:to>
    <xdr:graphicFrame macro="">
      <xdr:nvGraphicFramePr>
        <xdr:cNvPr id="6" name="Chart 5">
          <a:extLst>
            <a:ext uri="{FF2B5EF4-FFF2-40B4-BE49-F238E27FC236}">
              <a16:creationId xmlns:a16="http://schemas.microsoft.com/office/drawing/2014/main" id="{17A42A8A-7046-45E0-BFEF-CA6CD00A3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657225</xdr:colOff>
      <xdr:row>23</xdr:row>
      <xdr:rowOff>171450</xdr:rowOff>
    </xdr:from>
    <xdr:to>
      <xdr:col>17</xdr:col>
      <xdr:colOff>600075</xdr:colOff>
      <xdr:row>38</xdr:row>
      <xdr:rowOff>57150</xdr:rowOff>
    </xdr:to>
    <xdr:graphicFrame macro="">
      <xdr:nvGraphicFramePr>
        <xdr:cNvPr id="7" name="Chart 6">
          <a:extLst>
            <a:ext uri="{FF2B5EF4-FFF2-40B4-BE49-F238E27FC236}">
              <a16:creationId xmlns:a16="http://schemas.microsoft.com/office/drawing/2014/main" id="{DE70B500-56BF-4B27-ACDD-F970D2A80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12</xdr:row>
      <xdr:rowOff>66675</xdr:rowOff>
    </xdr:from>
    <xdr:to>
      <xdr:col>2</xdr:col>
      <xdr:colOff>38100</xdr:colOff>
      <xdr:row>23</xdr:row>
      <xdr:rowOff>76200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5B48228C-FD7D-F0E4-4E3C-2A7394623E2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781300"/>
              <a:ext cx="1485900" cy="2105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152400</xdr:rowOff>
    </xdr:from>
    <xdr:to>
      <xdr:col>2</xdr:col>
      <xdr:colOff>28575</xdr:colOff>
      <xdr:row>29</xdr:row>
      <xdr:rowOff>9525</xdr:rowOff>
    </xdr:to>
    <mc:AlternateContent xmlns:mc="http://schemas.openxmlformats.org/markup-compatibility/2006" xmlns:a14="http://schemas.microsoft.com/office/drawing/2010/main">
      <mc:Choice Requires="a14">
        <xdr:graphicFrame macro="">
          <xdr:nvGraphicFramePr>
            <xdr:cNvPr id="10" name="Correct Shift">
              <a:extLst>
                <a:ext uri="{FF2B5EF4-FFF2-40B4-BE49-F238E27FC236}">
                  <a16:creationId xmlns:a16="http://schemas.microsoft.com/office/drawing/2014/main" id="{E64F7BE0-A823-369A-CD8C-1E593D665F48}"/>
                </a:ext>
              </a:extLst>
            </xdr:cNvPr>
            <xdr:cNvGraphicFramePr/>
          </xdr:nvGraphicFramePr>
          <xdr:xfrm>
            <a:off x="0" y="0"/>
            <a:ext cx="0" cy="0"/>
          </xdr:xfrm>
          <a:graphic>
            <a:graphicData uri="http://schemas.microsoft.com/office/drawing/2010/slicer">
              <sle:slicer xmlns:sle="http://schemas.microsoft.com/office/drawing/2010/slicer" name="Correct Shift"/>
            </a:graphicData>
          </a:graphic>
        </xdr:graphicFrame>
      </mc:Choice>
      <mc:Fallback xmlns="">
        <xdr:sp macro="" textlink="">
          <xdr:nvSpPr>
            <xdr:cNvPr id="0" name=""/>
            <xdr:cNvSpPr>
              <a:spLocks noTextEdit="1"/>
            </xdr:cNvSpPr>
          </xdr:nvSpPr>
          <xdr:spPr>
            <a:xfrm>
              <a:off x="0" y="4962525"/>
              <a:ext cx="1476375"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9525</xdr:rowOff>
    </xdr:from>
    <xdr:to>
      <xdr:col>2</xdr:col>
      <xdr:colOff>19050</xdr:colOff>
      <xdr:row>38</xdr:row>
      <xdr:rowOff>19050</xdr:rowOff>
    </xdr:to>
    <mc:AlternateContent xmlns:mc="http://schemas.openxmlformats.org/markup-compatibility/2006" xmlns:a14="http://schemas.microsoft.com/office/drawing/2010/main">
      <mc:Choice Requires="a14">
        <xdr:graphicFrame macro="">
          <xdr:nvGraphicFramePr>
            <xdr:cNvPr id="11" name="Attendance_Status">
              <a:extLst>
                <a:ext uri="{FF2B5EF4-FFF2-40B4-BE49-F238E27FC236}">
                  <a16:creationId xmlns:a16="http://schemas.microsoft.com/office/drawing/2014/main" id="{CB0AFEB2-5E3A-6047-884B-24BB93E4C26B}"/>
                </a:ext>
              </a:extLst>
            </xdr:cNvPr>
            <xdr:cNvGraphicFramePr/>
          </xdr:nvGraphicFramePr>
          <xdr:xfrm>
            <a:off x="0" y="0"/>
            <a:ext cx="0" cy="0"/>
          </xdr:xfrm>
          <a:graphic>
            <a:graphicData uri="http://schemas.microsoft.com/office/drawing/2010/slicer">
              <sle:slicer xmlns:sle="http://schemas.microsoft.com/office/drawing/2010/slicer" name="Attendance_Status"/>
            </a:graphicData>
          </a:graphic>
        </xdr:graphicFrame>
      </mc:Choice>
      <mc:Fallback xmlns="">
        <xdr:sp macro="" textlink="">
          <xdr:nvSpPr>
            <xdr:cNvPr id="0" name=""/>
            <xdr:cNvSpPr>
              <a:spLocks noTextEdit="1"/>
            </xdr:cNvSpPr>
          </xdr:nvSpPr>
          <xdr:spPr>
            <a:xfrm>
              <a:off x="0" y="6153150"/>
              <a:ext cx="146685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0</xdr:rowOff>
    </xdr:from>
    <xdr:to>
      <xdr:col>2</xdr:col>
      <xdr:colOff>66675</xdr:colOff>
      <xdr:row>11</xdr:row>
      <xdr:rowOff>9525</xdr:rowOff>
    </xdr:to>
    <mc:AlternateContent xmlns:mc="http://schemas.openxmlformats.org/markup-compatibility/2006" xmlns:tsle="http://schemas.microsoft.com/office/drawing/2012/timeslicer">
      <mc:Choice Requires="tsle">
        <xdr:graphicFrame macro="">
          <xdr:nvGraphicFramePr>
            <xdr:cNvPr id="13" name="Attendance_Date">
              <a:extLst>
                <a:ext uri="{FF2B5EF4-FFF2-40B4-BE49-F238E27FC236}">
                  <a16:creationId xmlns:a16="http://schemas.microsoft.com/office/drawing/2014/main" id="{F62A38AD-EC13-9979-DB09-943C4C7A91DE}"/>
                </a:ext>
              </a:extLst>
            </xdr:cNvPr>
            <xdr:cNvGraphicFramePr/>
          </xdr:nvGraphicFramePr>
          <xdr:xfrm>
            <a:off x="0" y="0"/>
            <a:ext cx="0" cy="0"/>
          </xdr:xfrm>
          <a:graphic>
            <a:graphicData uri="http://schemas.microsoft.com/office/drawing/2012/timeslicer">
              <tsle:timeslicer name="Attendance_Date"/>
            </a:graphicData>
          </a:graphic>
        </xdr:graphicFrame>
      </mc:Choice>
      <mc:Fallback xmlns="">
        <xdr:sp macro="" textlink="">
          <xdr:nvSpPr>
            <xdr:cNvPr id="0" name=""/>
            <xdr:cNvSpPr>
              <a:spLocks noTextEdit="1"/>
            </xdr:cNvSpPr>
          </xdr:nvSpPr>
          <xdr:spPr>
            <a:xfrm>
              <a:off x="0" y="1162050"/>
              <a:ext cx="15144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adsan Teach" refreshedDate="46258.608025578702" createdVersion="8" refreshedVersion="8" minRefreshableVersion="3" recordCount="261" xr:uid="{294D35DC-FF39-412A-8A9E-604BAEFCDC4E}">
  <cacheSource type="worksheet">
    <worksheetSource name="Table1517"/>
  </cacheSource>
  <cacheFields count="8">
    <cacheField name="Employee_ID" numFmtId="0">
      <sharedItems/>
    </cacheField>
    <cacheField name="Attendance_Date" numFmtId="164">
      <sharedItems containsSemiMixedTypes="0" containsNonDate="0" containsDate="1" containsString="0" minDate="2025-01-01T00:00:00" maxDate="2026-07-30T00:00:00" count="212">
        <d v="2025-10-09T00:00:00"/>
        <d v="2026-03-22T00:00:00"/>
        <d v="2025-05-01T00:00:00"/>
        <d v="2026-01-04T00:00:00"/>
        <d v="2025-10-02T00:00:00"/>
        <d v="2025-02-08T00:00:00"/>
        <d v="2025-02-04T00:00:00"/>
        <d v="2025-04-01T00:00:00"/>
        <d v="2026-07-07T00:00:00"/>
        <d v="2025-09-21T00:00:00"/>
        <d v="2025-04-27T00:00:00"/>
        <d v="2026-05-26T00:00:00"/>
        <d v="2025-01-14T00:00:00"/>
        <d v="2026-05-25T00:00:00"/>
        <d v="2025-11-25T00:00:00"/>
        <d v="2025-05-06T00:00:00"/>
        <d v="2025-10-03T00:00:00"/>
        <d v="2026-04-13T00:00:00"/>
        <d v="2026-03-14T00:00:00"/>
        <d v="2025-05-10T00:00:00"/>
        <d v="2025-12-21T00:00:00"/>
        <d v="2025-09-27T00:00:00"/>
        <d v="2025-09-24T00:00:00"/>
        <d v="2026-04-24T00:00:00"/>
        <d v="2025-02-09T00:00:00"/>
        <d v="2025-12-23T00:00:00"/>
        <d v="2026-07-25T00:00:00"/>
        <d v="2025-10-25T00:00:00"/>
        <d v="2026-04-18T00:00:00"/>
        <d v="2026-03-30T00:00:00"/>
        <d v="2025-07-31T00:00:00"/>
        <d v="2025-09-18T00:00:00"/>
        <d v="2025-08-07T00:00:00"/>
        <d v="2025-04-15T00:00:00"/>
        <d v="2026-06-11T00:00:00"/>
        <d v="2025-08-31T00:00:00"/>
        <d v="2026-04-10T00:00:00"/>
        <d v="2025-08-29T00:00:00"/>
        <d v="2025-02-18T00:00:00"/>
        <d v="2025-04-04T00:00:00"/>
        <d v="2026-06-12T00:00:00"/>
        <d v="2025-08-05T00:00:00"/>
        <d v="2025-08-01T00:00:00"/>
        <d v="2025-12-18T00:00:00"/>
        <d v="2025-05-27T00:00:00"/>
        <d v="2026-07-03T00:00:00"/>
        <d v="2026-07-26T00:00:00"/>
        <d v="2026-07-11T00:00:00"/>
        <d v="2025-01-16T00:00:00"/>
        <d v="2026-07-29T00:00:00"/>
        <d v="2025-12-31T00:00:00"/>
        <d v="2025-03-06T00:00:00"/>
        <d v="2025-10-23T00:00:00"/>
        <d v="2025-02-28T00:00:00"/>
        <d v="2025-05-03T00:00:00"/>
        <d v="2026-02-17T00:00:00"/>
        <d v="2026-02-04T00:00:00"/>
        <d v="2025-06-18T00:00:00"/>
        <d v="2025-05-12T00:00:00"/>
        <d v="2025-01-20T00:00:00"/>
        <d v="2025-12-04T00:00:00"/>
        <d v="2026-05-16T00:00:00"/>
        <d v="2026-03-16T00:00:00"/>
        <d v="2026-05-27T00:00:00"/>
        <d v="2026-05-13T00:00:00"/>
        <d v="2025-04-13T00:00:00"/>
        <d v="2025-04-24T00:00:00"/>
        <d v="2026-06-08T00:00:00"/>
        <d v="2025-03-17T00:00:00"/>
        <d v="2025-10-14T00:00:00"/>
        <d v="2026-02-18T00:00:00"/>
        <d v="2025-07-30T00:00:00"/>
        <d v="2026-06-26T00:00:00"/>
        <d v="2025-08-14T00:00:00"/>
        <d v="2025-04-29T00:00:00"/>
        <d v="2026-05-20T00:00:00"/>
        <d v="2026-02-06T00:00:00"/>
        <d v="2025-08-09T00:00:00"/>
        <d v="2025-01-03T00:00:00"/>
        <d v="2026-02-13T00:00:00"/>
        <d v="2025-07-20T00:00:00"/>
        <d v="2026-01-27T00:00:00"/>
        <d v="2026-07-18T00:00:00"/>
        <d v="2026-05-30T00:00:00"/>
        <d v="2026-03-29T00:00:00"/>
        <d v="2025-07-09T00:00:00"/>
        <d v="2026-05-10T00:00:00"/>
        <d v="2025-07-14T00:00:00"/>
        <d v="2026-07-24T00:00:00"/>
        <d v="2026-02-15T00:00:00"/>
        <d v="2026-05-12T00:00:00"/>
        <d v="2026-02-08T00:00:00"/>
        <d v="2025-02-11T00:00:00"/>
        <d v="2026-04-02T00:00:00"/>
        <d v="2025-10-21T00:00:00"/>
        <d v="2026-06-02T00:00:00"/>
        <d v="2025-12-15T00:00:00"/>
        <d v="2026-01-29T00:00:00"/>
        <d v="2025-01-13T00:00:00"/>
        <d v="2026-01-13T00:00:00"/>
        <d v="2025-06-04T00:00:00"/>
        <d v="2025-12-16T00:00:00"/>
        <d v="2025-12-24T00:00:00"/>
        <d v="2025-07-25T00:00:00"/>
        <d v="2026-01-07T00:00:00"/>
        <d v="2025-05-15T00:00:00"/>
        <d v="2026-01-03T00:00:00"/>
        <d v="2026-07-10T00:00:00"/>
        <d v="2025-03-05T00:00:00"/>
        <d v="2025-06-23T00:00:00"/>
        <d v="2025-10-18T00:00:00"/>
        <d v="2025-01-18T00:00:00"/>
        <d v="2026-04-27T00:00:00"/>
        <d v="2026-04-16T00:00:00"/>
        <d v="2026-05-24T00:00:00"/>
        <d v="2025-04-16T00:00:00"/>
        <d v="2025-01-08T00:00:00"/>
        <d v="2026-02-19T00:00:00"/>
        <d v="2025-07-19T00:00:00"/>
        <d v="2025-07-28T00:00:00"/>
        <d v="2025-05-09T00:00:00"/>
        <d v="2025-01-25T00:00:00"/>
        <d v="2025-09-08T00:00:00"/>
        <d v="2026-06-24T00:00:00"/>
        <d v="2025-03-11T00:00:00"/>
        <d v="2025-03-20T00:00:00"/>
        <d v="2025-05-13T00:00:00"/>
        <d v="2026-06-29T00:00:00"/>
        <d v="2025-02-27T00:00:00"/>
        <d v="2026-06-10T00:00:00"/>
        <d v="2025-03-04T00:00:00"/>
        <d v="2026-06-27T00:00:00"/>
        <d v="2026-05-08T00:00:00"/>
        <d v="2025-08-03T00:00:00"/>
        <d v="2025-06-27T00:00:00"/>
        <d v="2025-11-21T00:00:00"/>
        <d v="2025-03-24T00:00:00"/>
        <d v="2025-08-22T00:00:00"/>
        <d v="2026-06-04T00:00:00"/>
        <d v="2025-01-22T00:00:00"/>
        <d v="2025-12-02T00:00:00"/>
        <d v="2025-05-28T00:00:00"/>
        <d v="2026-03-05T00:00:00"/>
        <d v="2026-01-01T00:00:00"/>
        <d v="2026-04-09T00:00:00"/>
        <d v="2026-06-15T00:00:00"/>
        <d v="2025-06-19T00:00:00"/>
        <d v="2025-08-11T00:00:00"/>
        <d v="2025-06-03T00:00:00"/>
        <d v="2025-12-07T00:00:00"/>
        <d v="2025-03-19T00:00:00"/>
        <d v="2025-10-22T00:00:00"/>
        <d v="2025-10-01T00:00:00"/>
        <d v="2026-02-10T00:00:00"/>
        <d v="2025-11-28T00:00:00"/>
        <d v="2025-10-05T00:00:00"/>
        <d v="2025-05-25T00:00:00"/>
        <d v="2026-03-27T00:00:00"/>
        <d v="2025-08-08T00:00:00"/>
        <d v="2025-09-11T00:00:00"/>
        <d v="2025-07-27T00:00:00"/>
        <d v="2025-11-11T00:00:00"/>
        <d v="2026-03-28T00:00:00"/>
        <d v="2025-01-10T00:00:00"/>
        <d v="2026-01-14T00:00:00"/>
        <d v="2026-01-10T00:00:00"/>
        <d v="2025-05-20T00:00:00"/>
        <d v="2025-11-26T00:00:00"/>
        <d v="2026-03-15T00:00:00"/>
        <d v="2025-11-15T00:00:00"/>
        <d v="2026-06-03T00:00:00"/>
        <d v="2025-06-12T00:00:00"/>
        <d v="2025-12-20T00:00:00"/>
        <d v="2025-01-11T00:00:00"/>
        <d v="2026-03-09T00:00:00"/>
        <d v="2025-04-06T00:00:00"/>
        <d v="2026-04-29T00:00:00"/>
        <d v="2026-02-01T00:00:00"/>
        <d v="2025-05-30T00:00:00"/>
        <d v="2025-02-15T00:00:00"/>
        <d v="2026-07-09T00:00:00"/>
        <d v="2025-01-26T00:00:00"/>
        <d v="2025-10-20T00:00:00"/>
        <d v="2025-12-13T00:00:00"/>
        <d v="2025-07-21T00:00:00"/>
        <d v="2025-06-24T00:00:00"/>
        <d v="2025-01-23T00:00:00"/>
        <d v="2025-05-21T00:00:00"/>
        <d v="2026-01-30T00:00:00"/>
        <d v="2025-07-15T00:00:00"/>
        <d v="2025-06-30T00:00:00"/>
        <d v="2025-09-16T00:00:00"/>
        <d v="2025-04-20T00:00:00"/>
        <d v="2025-01-01T00:00:00"/>
        <d v="2026-06-18T00:00:00"/>
        <d v="2025-08-04T00:00:00"/>
        <d v="2025-04-03T00:00:00"/>
        <d v="2025-06-15T00:00:00"/>
        <d v="2026-06-16T00:00:00"/>
        <d v="2025-08-26T00:00:00"/>
        <d v="2025-11-07T00:00:00"/>
        <d v="2026-01-20T00:00:00"/>
        <d v="2025-05-02T00:00:00"/>
        <d v="2026-06-09T00:00:00"/>
        <d v="2025-03-16T00:00:00"/>
        <d v="2025-04-17T00:00:00"/>
        <d v="2026-02-16T00:00:00"/>
        <d v="2025-12-29T00:00:00"/>
        <d v="2025-04-26T00:00:00"/>
        <d v="2026-02-05T00:00:00"/>
        <d v="2026-01-25T00:00:00"/>
        <d v="2025-07-16T00:00:00"/>
      </sharedItems>
    </cacheField>
    <cacheField name="Department" numFmtId="0">
      <sharedItems count="6">
        <s v="Administration"/>
        <s v="HR"/>
        <s v="IT"/>
        <s v="Operations"/>
        <s v="Finance"/>
        <s v="Sales"/>
      </sharedItems>
    </cacheField>
    <cacheField name="Shift" numFmtId="0">
      <sharedItems/>
    </cacheField>
    <cacheField name="Check_In" numFmtId="165">
      <sharedItems containsDate="1" containsBlank="1" containsMixedTypes="1" minDate="1899-12-30T08:09:00" maxDate="1899-12-30T14:05:00"/>
    </cacheField>
    <cacheField name="Check_Out" numFmtId="165">
      <sharedItems containsDate="1" containsBlank="1" containsMixedTypes="1" minDate="1899-12-30T17:07:00" maxDate="1899-12-30T22:18:00"/>
    </cacheField>
    <cacheField name="Attendance_Status" numFmtId="0">
      <sharedItems count="4">
        <s v="Present"/>
        <s v="Late"/>
        <s v="Remote"/>
        <s v="Absent"/>
      </sharedItems>
    </cacheField>
    <cacheField name="Correct Shift" numFmtId="0">
      <sharedItems count="2">
        <s v="Evening"/>
        <s v="Morning"/>
      </sharedItems>
    </cacheField>
  </cacheFields>
  <extLst>
    <ext xmlns:x14="http://schemas.microsoft.com/office/spreadsheetml/2009/9/main" uri="{725AE2AE-9491-48be-B2B4-4EB974FC3084}">
      <x14:pivotCacheDefinition pivotCacheId="968610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s v="EMP073"/>
    <x v="0"/>
    <x v="0"/>
    <s v="Morning"/>
    <s v="14:08"/>
    <s v="22:18"/>
    <x v="0"/>
    <x v="0"/>
  </r>
  <r>
    <s v="EMP013"/>
    <x v="1"/>
    <x v="1"/>
    <s v="Morning"/>
    <s v="14:03"/>
    <s v="22:12"/>
    <x v="0"/>
    <x v="0"/>
  </r>
  <r>
    <s v="EMP049"/>
    <x v="2"/>
    <x v="0"/>
    <s v="Evening"/>
    <s v="08:41"/>
    <s v="17:10"/>
    <x v="1"/>
    <x v="1"/>
  </r>
  <r>
    <s v="EMP080"/>
    <x v="3"/>
    <x v="2"/>
    <s v="Morning"/>
    <d v="1899-12-30T08:09:00"/>
    <s v="17:05"/>
    <x v="0"/>
    <x v="1"/>
  </r>
  <r>
    <s v="EMP037"/>
    <x v="4"/>
    <x v="3"/>
    <s v="Morning"/>
    <s v="08:38"/>
    <s v="17:21"/>
    <x v="1"/>
    <x v="1"/>
  </r>
  <r>
    <s v="EMP016"/>
    <x v="5"/>
    <x v="4"/>
    <s v="Morning"/>
    <s v="08:04"/>
    <s v="17:29"/>
    <x v="2"/>
    <x v="1"/>
  </r>
  <r>
    <s v="EMP027"/>
    <x v="6"/>
    <x v="5"/>
    <s v="Morning"/>
    <s v="08:10"/>
    <s v="17:23"/>
    <x v="1"/>
    <x v="1"/>
  </r>
  <r>
    <s v="EMP033"/>
    <x v="7"/>
    <x v="0"/>
    <s v="Evening"/>
    <s v="-"/>
    <s v="-"/>
    <x v="3"/>
    <x v="0"/>
  </r>
  <r>
    <s v="EMP034"/>
    <x v="8"/>
    <x v="3"/>
    <s v="Evening"/>
    <s v="08:09"/>
    <s v="17:07"/>
    <x v="0"/>
    <x v="1"/>
  </r>
  <r>
    <s v="EMP031"/>
    <x v="9"/>
    <x v="3"/>
    <s v="Evening"/>
    <m/>
    <s v="-"/>
    <x v="3"/>
    <x v="0"/>
  </r>
  <r>
    <s v="EMP053"/>
    <x v="10"/>
    <x v="2"/>
    <s v="Morning"/>
    <s v="08:01"/>
    <s v="17:25"/>
    <x v="0"/>
    <x v="1"/>
  </r>
  <r>
    <s v="EMP076"/>
    <x v="11"/>
    <x v="4"/>
    <s v="Evening"/>
    <s v="08:08"/>
    <s v="17:25"/>
    <x v="0"/>
    <x v="1"/>
  </r>
  <r>
    <s v="EMP040"/>
    <x v="12"/>
    <x v="3"/>
    <s v="Morning"/>
    <s v="08:05"/>
    <s v="17:05"/>
    <x v="0"/>
    <x v="1"/>
  </r>
  <r>
    <s v="EMP062"/>
    <x v="13"/>
    <x v="5"/>
    <s v="Morning"/>
    <s v="08:00"/>
    <s v="17:18"/>
    <x v="0"/>
    <x v="1"/>
  </r>
  <r>
    <s v="EMP047"/>
    <x v="14"/>
    <x v="4"/>
    <s v="Morning"/>
    <s v="08:04"/>
    <d v="1899-12-30T17:07:00"/>
    <x v="0"/>
    <x v="1"/>
  </r>
  <r>
    <s v="EMP017"/>
    <x v="15"/>
    <x v="2"/>
    <s v="Morning"/>
    <s v="08:06"/>
    <s v="17:27"/>
    <x v="0"/>
    <x v="1"/>
  </r>
  <r>
    <s v="EMP018"/>
    <x v="16"/>
    <x v="0"/>
    <s v="Morning"/>
    <s v="08:09"/>
    <s v="17:19"/>
    <x v="0"/>
    <x v="1"/>
  </r>
  <r>
    <s v="EMP046"/>
    <x v="17"/>
    <x v="0"/>
    <s v="Morning"/>
    <s v="08:15"/>
    <s v="17:15"/>
    <x v="1"/>
    <x v="1"/>
  </r>
  <r>
    <s v="EMP042"/>
    <x v="18"/>
    <x v="0"/>
    <s v="Morning"/>
    <s v="08:03"/>
    <s v="17:13"/>
    <x v="0"/>
    <x v="1"/>
  </r>
  <r>
    <s v="EMP012"/>
    <x v="19"/>
    <x v="5"/>
    <s v="Morning"/>
    <s v="08:00"/>
    <s v="17:03"/>
    <x v="0"/>
    <x v="1"/>
  </r>
  <r>
    <s v="EMP014"/>
    <x v="20"/>
    <x v="5"/>
    <s v="Evening"/>
    <s v="08:04"/>
    <s v="17:19"/>
    <x v="0"/>
    <x v="1"/>
  </r>
  <r>
    <s v="EMP064"/>
    <x v="21"/>
    <x v="4"/>
    <s v="Evening"/>
    <s v="08:41"/>
    <s v="17:06"/>
    <x v="1"/>
    <x v="1"/>
  </r>
  <r>
    <s v="EMP011"/>
    <x v="22"/>
    <x v="5"/>
    <s v="Evening"/>
    <s v="14:01"/>
    <s v="22:24"/>
    <x v="0"/>
    <x v="0"/>
  </r>
  <r>
    <s v="EMP075"/>
    <x v="23"/>
    <x v="5"/>
    <s v="Morning"/>
    <s v="-"/>
    <s v="-"/>
    <x v="3"/>
    <x v="1"/>
  </r>
  <r>
    <s v="EMP043"/>
    <x v="24"/>
    <x v="5"/>
    <s v="Morning"/>
    <s v="08:00"/>
    <s v="17:29"/>
    <x v="0"/>
    <x v="1"/>
  </r>
  <r>
    <s v="EMP040"/>
    <x v="25"/>
    <x v="1"/>
    <s v="Evening"/>
    <d v="1899-12-30T14:05:00"/>
    <s v="17:10"/>
    <x v="0"/>
    <x v="0"/>
  </r>
  <r>
    <s v="EMP013"/>
    <x v="26"/>
    <x v="1"/>
    <s v="Morning"/>
    <s v="08:08"/>
    <d v="1899-12-30T17:07:00"/>
    <x v="0"/>
    <x v="1"/>
  </r>
  <r>
    <s v="EMP035"/>
    <x v="27"/>
    <x v="0"/>
    <s v="Evening"/>
    <s v="08:00"/>
    <s v="17:03"/>
    <x v="0"/>
    <x v="1"/>
  </r>
  <r>
    <s v="EMP058"/>
    <x v="28"/>
    <x v="3"/>
    <s v="Morning"/>
    <s v="14:07"/>
    <s v="22:12"/>
    <x v="2"/>
    <x v="0"/>
  </r>
  <r>
    <s v="EMP044"/>
    <x v="29"/>
    <x v="4"/>
    <s v="Morning"/>
    <s v="08:03"/>
    <s v="17:10"/>
    <x v="0"/>
    <x v="1"/>
  </r>
  <r>
    <s v="EMP061"/>
    <x v="13"/>
    <x v="3"/>
    <s v="Morning"/>
    <s v="08:00"/>
    <s v="17:11"/>
    <x v="0"/>
    <x v="1"/>
  </r>
  <r>
    <s v="EMP072"/>
    <x v="0"/>
    <x v="1"/>
    <s v="Morning"/>
    <s v="14:08"/>
    <s v="22:01"/>
    <x v="0"/>
    <x v="0"/>
  </r>
  <r>
    <s v="EMP074"/>
    <x v="30"/>
    <x v="4"/>
    <s v="Morning"/>
    <s v="14:27"/>
    <s v="22:26"/>
    <x v="1"/>
    <x v="0"/>
  </r>
  <r>
    <s v="EMP026"/>
    <x v="3"/>
    <x v="0"/>
    <s v="Evening"/>
    <s v="08:06"/>
    <s v="17:07"/>
    <x v="0"/>
    <x v="1"/>
  </r>
  <r>
    <s v="EMP020"/>
    <x v="31"/>
    <x v="0"/>
    <s v="Evening"/>
    <s v="08:04"/>
    <s v="17:02"/>
    <x v="2"/>
    <x v="1"/>
  </r>
  <r>
    <s v="EMP019"/>
    <x v="32"/>
    <x v="2"/>
    <s v="Morning"/>
    <s v="14:05"/>
    <s v="22:22"/>
    <x v="0"/>
    <x v="0"/>
  </r>
  <r>
    <s v="EMP049"/>
    <x v="33"/>
    <x v="0"/>
    <s v="Morning"/>
    <s v="14:00"/>
    <s v="22:11"/>
    <x v="0"/>
    <x v="0"/>
  </r>
  <r>
    <s v="EMP061"/>
    <x v="34"/>
    <x v="5"/>
    <s v="Morning"/>
    <s v="14:09"/>
    <s v="22:14"/>
    <x v="0"/>
    <x v="0"/>
  </r>
  <r>
    <s v="EMP029"/>
    <x v="35"/>
    <x v="4"/>
    <s v="Morning"/>
    <s v="08:09"/>
    <s v="17:01"/>
    <x v="0"/>
    <x v="1"/>
  </r>
  <r>
    <s v="EMP007"/>
    <x v="36"/>
    <x v="4"/>
    <s v="Morning"/>
    <s v="08:03"/>
    <s v="17:21"/>
    <x v="0"/>
    <x v="1"/>
  </r>
  <r>
    <s v="EMP036"/>
    <x v="37"/>
    <x v="3"/>
    <s v="Morning"/>
    <s v="14:07"/>
    <s v="22:29"/>
    <x v="0"/>
    <x v="0"/>
  </r>
  <r>
    <s v="EMP040"/>
    <x v="38"/>
    <x v="4"/>
    <s v="Morning"/>
    <s v="14:05"/>
    <s v="22:25"/>
    <x v="2"/>
    <x v="0"/>
  </r>
  <r>
    <s v="EMP041"/>
    <x v="39"/>
    <x v="5"/>
    <s v="Morning"/>
    <s v="-"/>
    <s v="-"/>
    <x v="3"/>
    <x v="1"/>
  </r>
  <r>
    <s v="EMP050"/>
    <x v="7"/>
    <x v="5"/>
    <s v="Morning"/>
    <s v="08:02"/>
    <d v="1899-12-30T17:07:00"/>
    <x v="0"/>
    <x v="1"/>
  </r>
  <r>
    <s v="EMP009"/>
    <x v="40"/>
    <x v="5"/>
    <s v="Evening"/>
    <d v="1899-12-30T14:05:00"/>
    <s v="17:18"/>
    <x v="0"/>
    <x v="0"/>
  </r>
  <r>
    <s v="EMP075"/>
    <x v="41"/>
    <x v="4"/>
    <s v="Evening"/>
    <s v="-"/>
    <s v="-"/>
    <x v="3"/>
    <x v="0"/>
  </r>
  <r>
    <s v="EMP071"/>
    <x v="42"/>
    <x v="2"/>
    <s v="Morning"/>
    <s v="14:00"/>
    <d v="1899-12-30T22:18:00"/>
    <x v="0"/>
    <x v="0"/>
  </r>
  <r>
    <s v="EMP078"/>
    <x v="43"/>
    <x v="2"/>
    <s v="Morning"/>
    <s v="08:08"/>
    <s v="17:09"/>
    <x v="0"/>
    <x v="1"/>
  </r>
  <r>
    <s v="EMP008"/>
    <x v="44"/>
    <x v="0"/>
    <s v="Morning"/>
    <s v="14:05"/>
    <s v="22:27"/>
    <x v="0"/>
    <x v="0"/>
  </r>
  <r>
    <s v="EMP004"/>
    <x v="45"/>
    <x v="3"/>
    <s v="Morning"/>
    <s v="08:08"/>
    <s v="17:27"/>
    <x v="0"/>
    <x v="1"/>
  </r>
  <r>
    <s v="EMP068"/>
    <x v="46"/>
    <x v="5"/>
    <s v="Evening"/>
    <s v="08:10"/>
    <s v="17:11"/>
    <x v="1"/>
    <x v="1"/>
  </r>
  <r>
    <s v="EMP031"/>
    <x v="47"/>
    <x v="3"/>
    <s v="Evening"/>
    <s v="08:01"/>
    <s v="17:24"/>
    <x v="0"/>
    <x v="1"/>
  </r>
  <r>
    <s v="EMP074"/>
    <x v="48"/>
    <x v="2"/>
    <s v="Evening"/>
    <s v="08:00"/>
    <s v="17:05"/>
    <x v="0"/>
    <x v="1"/>
  </r>
  <r>
    <s v="EMP074"/>
    <x v="49"/>
    <x v="1"/>
    <s v="Morning"/>
    <s v="08:08"/>
    <s v="17:00"/>
    <x v="0"/>
    <x v="1"/>
  </r>
  <r>
    <s v="EMP029"/>
    <x v="3"/>
    <x v="1"/>
    <s v="Morning"/>
    <s v="08:04"/>
    <s v="17:24"/>
    <x v="0"/>
    <x v="1"/>
  </r>
  <r>
    <s v="EMP063"/>
    <x v="50"/>
    <x v="2"/>
    <s v="Evening"/>
    <s v="08:07"/>
    <s v="17:09"/>
    <x v="0"/>
    <x v="1"/>
  </r>
  <r>
    <s v="EMP043"/>
    <x v="51"/>
    <x v="4"/>
    <s v="Morning"/>
    <s v="08:49"/>
    <s v="17:27"/>
    <x v="1"/>
    <x v="1"/>
  </r>
  <r>
    <s v="EMP053"/>
    <x v="52"/>
    <x v="0"/>
    <s v="Morning"/>
    <s v="08:09"/>
    <s v="17:00"/>
    <x v="2"/>
    <x v="1"/>
  </r>
  <r>
    <s v="EMP071"/>
    <x v="18"/>
    <x v="2"/>
    <s v="Evening"/>
    <s v="15:54"/>
    <s v="22:23"/>
    <x v="1"/>
    <x v="0"/>
  </r>
  <r>
    <s v="EMP055"/>
    <x v="53"/>
    <x v="4"/>
    <s v="Morning"/>
    <s v="14:07"/>
    <s v="22:07"/>
    <x v="0"/>
    <x v="0"/>
  </r>
  <r>
    <s v="EMP076"/>
    <x v="54"/>
    <x v="3"/>
    <s v="Morning"/>
    <s v="08:08"/>
    <s v="17:07"/>
    <x v="0"/>
    <x v="1"/>
  </r>
  <r>
    <s v="EMP077"/>
    <x v="55"/>
    <x v="3"/>
    <s v="Morning"/>
    <s v="14:00"/>
    <s v="22:18"/>
    <x v="0"/>
    <x v="0"/>
  </r>
  <r>
    <s v="EMP058"/>
    <x v="56"/>
    <x v="2"/>
    <s v="Evening"/>
    <d v="1899-12-30T14:05:00"/>
    <s v="17:07"/>
    <x v="1"/>
    <x v="0"/>
  </r>
  <r>
    <s v="EMP005"/>
    <x v="57"/>
    <x v="0"/>
    <s v="Morning"/>
    <s v="08:01"/>
    <d v="1899-12-30T17:07:00"/>
    <x v="0"/>
    <x v="1"/>
  </r>
  <r>
    <s v="EMP023"/>
    <x v="58"/>
    <x v="2"/>
    <s v="Morning"/>
    <s v="08:03"/>
    <s v="17:29"/>
    <x v="0"/>
    <x v="1"/>
  </r>
  <r>
    <s v="EMP021"/>
    <x v="59"/>
    <x v="2"/>
    <s v="Evening"/>
    <s v="08:03"/>
    <s v="17:12"/>
    <x v="0"/>
    <x v="1"/>
  </r>
  <r>
    <s v="EMP003"/>
    <x v="60"/>
    <x v="5"/>
    <s v="Morning"/>
    <s v="08:09"/>
    <d v="1899-12-30T17:07:00"/>
    <x v="0"/>
    <x v="1"/>
  </r>
  <r>
    <s v="EMP066"/>
    <x v="61"/>
    <x v="2"/>
    <s v="Morning"/>
    <s v="14:04"/>
    <s v="22:21"/>
    <x v="0"/>
    <x v="0"/>
  </r>
  <r>
    <s v="EMP016"/>
    <x v="62"/>
    <x v="2"/>
    <s v="Evening"/>
    <s v="14:17"/>
    <s v="22:12"/>
    <x v="1"/>
    <x v="0"/>
  </r>
  <r>
    <s v="EMP069"/>
    <x v="63"/>
    <x v="5"/>
    <s v="Morning"/>
    <s v="14:09"/>
    <s v="22:02"/>
    <x v="0"/>
    <x v="0"/>
  </r>
  <r>
    <s v="EMP046"/>
    <x v="64"/>
    <x v="3"/>
    <s v="Morning"/>
    <s v="08:09"/>
    <s v="17:28"/>
    <x v="0"/>
    <x v="1"/>
  </r>
  <r>
    <s v="EMP046"/>
    <x v="65"/>
    <x v="2"/>
    <s v="Morning"/>
    <s v="08:08"/>
    <s v="17:06"/>
    <x v="2"/>
    <x v="1"/>
  </r>
  <r>
    <s v="EMP013"/>
    <x v="66"/>
    <x v="4"/>
    <s v="Morning"/>
    <d v="1899-12-30T08:09:00"/>
    <s v="22:07"/>
    <x v="1"/>
    <x v="1"/>
  </r>
  <r>
    <s v="EMP017"/>
    <x v="67"/>
    <x v="1"/>
    <s v="Morning"/>
    <s v="08:08"/>
    <s v="17:27"/>
    <x v="0"/>
    <x v="1"/>
  </r>
  <r>
    <s v="EMP034"/>
    <x v="68"/>
    <x v="2"/>
    <s v="Morning"/>
    <s v="08:08"/>
    <s v="17:02"/>
    <x v="0"/>
    <x v="1"/>
  </r>
  <r>
    <s v="EMP036"/>
    <x v="69"/>
    <x v="3"/>
    <s v="Morning"/>
    <s v="08:01"/>
    <s v="17:26"/>
    <x v="0"/>
    <x v="1"/>
  </r>
  <r>
    <s v="EMP013"/>
    <x v="70"/>
    <x v="3"/>
    <s v="Morning"/>
    <s v="08:06"/>
    <s v="17:10"/>
    <x v="0"/>
    <x v="1"/>
  </r>
  <r>
    <s v="EMP035"/>
    <x v="71"/>
    <x v="3"/>
    <s v="Evening"/>
    <s v="08:05"/>
    <s v="17:05"/>
    <x v="2"/>
    <x v="1"/>
  </r>
  <r>
    <s v="EMP062"/>
    <x v="72"/>
    <x v="2"/>
    <s v="Morning"/>
    <s v="14:04"/>
    <s v="22:26"/>
    <x v="0"/>
    <x v="0"/>
  </r>
  <r>
    <s v="EMP022"/>
    <x v="73"/>
    <x v="3"/>
    <s v="Morning"/>
    <s v="14:04"/>
    <s v="22:04"/>
    <x v="0"/>
    <x v="0"/>
  </r>
  <r>
    <s v="EMP051"/>
    <x v="74"/>
    <x v="3"/>
    <s v="Evening"/>
    <s v="08:04"/>
    <s v="17:29"/>
    <x v="0"/>
    <x v="1"/>
  </r>
  <r>
    <s v="EMP036"/>
    <x v="75"/>
    <x v="2"/>
    <s v="Morning"/>
    <s v="-"/>
    <s v="-"/>
    <x v="3"/>
    <x v="1"/>
  </r>
  <r>
    <s v="EMP008"/>
    <x v="76"/>
    <x v="0"/>
    <s v="Evening"/>
    <s v="08:04"/>
    <s v="17:08"/>
    <x v="0"/>
    <x v="1"/>
  </r>
  <r>
    <s v="EMP059"/>
    <x v="77"/>
    <x v="3"/>
    <s v="Morning"/>
    <s v="14:07"/>
    <s v="22:13"/>
    <x v="0"/>
    <x v="0"/>
  </r>
  <r>
    <s v="EMP062"/>
    <x v="7"/>
    <x v="3"/>
    <s v="Morning"/>
    <s v="14:08"/>
    <d v="1899-12-30T22:18:00"/>
    <x v="0"/>
    <x v="0"/>
  </r>
  <r>
    <s v="EMP072"/>
    <x v="78"/>
    <x v="5"/>
    <s v="Morning"/>
    <s v="-"/>
    <s v="-"/>
    <x v="3"/>
    <x v="1"/>
  </r>
  <r>
    <s v="EMP063"/>
    <x v="79"/>
    <x v="1"/>
    <s v="Morning"/>
    <s v="14:00"/>
    <s v="22:22"/>
    <x v="0"/>
    <x v="0"/>
  </r>
  <r>
    <s v="EMP076"/>
    <x v="80"/>
    <x v="2"/>
    <s v="Morning"/>
    <s v="08:07"/>
    <s v="17:16"/>
    <x v="0"/>
    <x v="1"/>
  </r>
  <r>
    <s v="EMP028"/>
    <x v="81"/>
    <x v="2"/>
    <s v="Evening"/>
    <s v="08:24"/>
    <s v="17:06"/>
    <x v="1"/>
    <x v="1"/>
  </r>
  <r>
    <s v="EMP069"/>
    <x v="82"/>
    <x v="1"/>
    <s v="Morning"/>
    <s v="08:07"/>
    <s v="17:25"/>
    <x v="0"/>
    <x v="1"/>
  </r>
  <r>
    <s v="EMP073"/>
    <x v="83"/>
    <x v="2"/>
    <s v="Evening"/>
    <s v="08:01"/>
    <s v="17:12"/>
    <x v="0"/>
    <x v="1"/>
  </r>
  <r>
    <s v="EMP075"/>
    <x v="84"/>
    <x v="2"/>
    <s v="Morning"/>
    <d v="1899-12-30T08:09:00"/>
    <s v="17:08"/>
    <x v="0"/>
    <x v="1"/>
  </r>
  <r>
    <s v="EMP004"/>
    <x v="85"/>
    <x v="0"/>
    <s v="Evening"/>
    <s v="08:07"/>
    <s v="17:28"/>
    <x v="2"/>
    <x v="1"/>
  </r>
  <r>
    <s v="EMP064"/>
    <x v="86"/>
    <x v="5"/>
    <s v="Morning"/>
    <s v="08:08"/>
    <s v="17:04"/>
    <x v="0"/>
    <x v="1"/>
  </r>
  <r>
    <s v="EMP063"/>
    <x v="87"/>
    <x v="0"/>
    <s v="Morning"/>
    <s v="08:17"/>
    <s v="17:27"/>
    <x v="1"/>
    <x v="1"/>
  </r>
  <r>
    <s v="EMP078"/>
    <x v="88"/>
    <x v="4"/>
    <s v="Evening"/>
    <s v="14:11"/>
    <s v="22:24"/>
    <x v="1"/>
    <x v="0"/>
  </r>
  <r>
    <s v="EMP017"/>
    <x v="89"/>
    <x v="2"/>
    <s v="Evening"/>
    <s v="14:05"/>
    <s v="22:01"/>
    <x v="0"/>
    <x v="0"/>
  </r>
  <r>
    <s v="EMP002"/>
    <x v="90"/>
    <x v="2"/>
    <s v="Evening"/>
    <d v="1899-12-30T14:05:00"/>
    <s v="17:19"/>
    <x v="1"/>
    <x v="0"/>
  </r>
  <r>
    <s v="EMP011"/>
    <x v="91"/>
    <x v="4"/>
    <s v="Morning"/>
    <s v="08:05"/>
    <s v="17:21"/>
    <x v="0"/>
    <x v="1"/>
  </r>
  <r>
    <s v="EMP033"/>
    <x v="92"/>
    <x v="3"/>
    <s v="Morning"/>
    <s v="08:01"/>
    <s v="17:20"/>
    <x v="0"/>
    <x v="1"/>
  </r>
  <r>
    <s v="EMP028"/>
    <x v="93"/>
    <x v="3"/>
    <s v="Evening"/>
    <s v="-"/>
    <s v="-"/>
    <x v="3"/>
    <x v="0"/>
  </r>
  <r>
    <s v="EMP001"/>
    <x v="94"/>
    <x v="0"/>
    <s v="Morning"/>
    <s v="-"/>
    <s v="-"/>
    <x v="3"/>
    <x v="1"/>
  </r>
  <r>
    <s v="EMP013"/>
    <x v="95"/>
    <x v="2"/>
    <s v="Morning"/>
    <s v="14:14"/>
    <d v="1899-12-30T22:18:00"/>
    <x v="1"/>
    <x v="0"/>
  </r>
  <r>
    <s v="EMP001"/>
    <x v="96"/>
    <x v="0"/>
    <s v="Morning"/>
    <s v="14:15"/>
    <s v="22:06"/>
    <x v="1"/>
    <x v="0"/>
  </r>
  <r>
    <s v="EMP009"/>
    <x v="97"/>
    <x v="4"/>
    <s v="Morning"/>
    <d v="1899-12-30T08:09:00"/>
    <s v="17:22"/>
    <x v="0"/>
    <x v="1"/>
  </r>
  <r>
    <s v="EMP009"/>
    <x v="98"/>
    <x v="2"/>
    <s v="Morning"/>
    <s v="08:06"/>
    <s v="17:04"/>
    <x v="0"/>
    <x v="1"/>
  </r>
  <r>
    <s v="EMP036"/>
    <x v="99"/>
    <x v="2"/>
    <s v="Morning"/>
    <s v="14:08"/>
    <s v="22:22"/>
    <x v="0"/>
    <x v="0"/>
  </r>
  <r>
    <s v="EMP032"/>
    <x v="100"/>
    <x v="5"/>
    <s v="Morning"/>
    <s v="-"/>
    <s v="-"/>
    <x v="3"/>
    <x v="1"/>
  </r>
  <r>
    <s v="EMP039"/>
    <x v="101"/>
    <x v="2"/>
    <s v="Morning"/>
    <s v="08:05"/>
    <s v="17:05"/>
    <x v="0"/>
    <x v="1"/>
  </r>
  <r>
    <s v="EMP059"/>
    <x v="102"/>
    <x v="1"/>
    <s v="Morning"/>
    <s v="14:06"/>
    <s v="22:29"/>
    <x v="0"/>
    <x v="0"/>
  </r>
  <r>
    <s v="EMP046"/>
    <x v="103"/>
    <x v="4"/>
    <s v="Morning"/>
    <s v="14:25"/>
    <s v="22:13"/>
    <x v="0"/>
    <x v="0"/>
  </r>
  <r>
    <s v="EMP004"/>
    <x v="104"/>
    <x v="3"/>
    <s v="Morning"/>
    <s v="14:08"/>
    <s v="22:22"/>
    <x v="0"/>
    <x v="0"/>
  </r>
  <r>
    <s v="EMP060"/>
    <x v="105"/>
    <x v="3"/>
    <s v="Morning"/>
    <s v="14:05"/>
    <s v="22:11"/>
    <x v="0"/>
    <x v="0"/>
  </r>
  <r>
    <s v="EMP030"/>
    <x v="106"/>
    <x v="2"/>
    <s v="Evening"/>
    <s v="-"/>
    <s v="-"/>
    <x v="3"/>
    <x v="0"/>
  </r>
  <r>
    <s v="EMP028"/>
    <x v="107"/>
    <x v="2"/>
    <s v="Morning"/>
    <s v="-"/>
    <s v="-"/>
    <x v="3"/>
    <x v="1"/>
  </r>
  <r>
    <s v="EMP019"/>
    <x v="88"/>
    <x v="4"/>
    <s v="Morning"/>
    <s v="14:04"/>
    <s v="22:01"/>
    <x v="0"/>
    <x v="0"/>
  </r>
  <r>
    <s v="EMP040"/>
    <x v="108"/>
    <x v="3"/>
    <s v="Evening"/>
    <s v="14:30"/>
    <s v="22:11"/>
    <x v="1"/>
    <x v="0"/>
  </r>
  <r>
    <s v="EMP022"/>
    <x v="109"/>
    <x v="3"/>
    <s v="Morning"/>
    <s v="14:39"/>
    <s v="22:27"/>
    <x v="1"/>
    <x v="0"/>
  </r>
  <r>
    <s v="EMP062"/>
    <x v="110"/>
    <x v="1"/>
    <s v="Evening"/>
    <s v="14:01"/>
    <s v="22:09"/>
    <x v="2"/>
    <x v="0"/>
  </r>
  <r>
    <s v="EMP080"/>
    <x v="111"/>
    <x v="4"/>
    <s v="Morning"/>
    <s v="-"/>
    <s v="-"/>
    <x v="3"/>
    <x v="1"/>
  </r>
  <r>
    <s v="EMP079"/>
    <x v="112"/>
    <x v="2"/>
    <s v="Evening"/>
    <s v="14:09"/>
    <s v="22:29"/>
    <x v="2"/>
    <x v="0"/>
  </r>
  <r>
    <s v="EMP014"/>
    <x v="113"/>
    <x v="2"/>
    <s v="Evening"/>
    <s v="08:09"/>
    <s v="17:26"/>
    <x v="0"/>
    <x v="1"/>
  </r>
  <r>
    <s v="EMP031"/>
    <x v="114"/>
    <x v="4"/>
    <s v="Evening"/>
    <s v="14:00"/>
    <s v="22:00"/>
    <x v="0"/>
    <x v="0"/>
  </r>
  <r>
    <s v="EMP019"/>
    <x v="115"/>
    <x v="2"/>
    <s v="Morning"/>
    <s v="09:54"/>
    <s v="17:10"/>
    <x v="1"/>
    <x v="1"/>
  </r>
  <r>
    <s v="EMP023"/>
    <x v="85"/>
    <x v="5"/>
    <s v="Morning"/>
    <s v="14:05"/>
    <s v="22:09"/>
    <x v="0"/>
    <x v="0"/>
  </r>
  <r>
    <s v="EMP013"/>
    <x v="116"/>
    <x v="4"/>
    <s v="Morning"/>
    <s v="08:01"/>
    <s v="17:27"/>
    <x v="0"/>
    <x v="1"/>
  </r>
  <r>
    <s v="EMP047"/>
    <x v="117"/>
    <x v="3"/>
    <s v="Morning"/>
    <s v="08:08"/>
    <s v="17:22"/>
    <x v="0"/>
    <x v="1"/>
  </r>
  <r>
    <s v="EMP016"/>
    <x v="118"/>
    <x v="4"/>
    <s v="Morning"/>
    <s v="14:00"/>
    <s v="22:20"/>
    <x v="0"/>
    <x v="0"/>
  </r>
  <r>
    <s v="EMP051"/>
    <x v="119"/>
    <x v="0"/>
    <s v="Evening"/>
    <s v="08:02"/>
    <s v="17:11"/>
    <x v="0"/>
    <x v="1"/>
  </r>
  <r>
    <s v="EMP034"/>
    <x v="120"/>
    <x v="5"/>
    <s v="Evening"/>
    <s v="08:09"/>
    <s v="17:28"/>
    <x v="2"/>
    <x v="1"/>
  </r>
  <r>
    <s v="EMP035"/>
    <x v="121"/>
    <x v="5"/>
    <s v="Evening"/>
    <s v="14:00"/>
    <s v="22:28"/>
    <x v="0"/>
    <x v="0"/>
  </r>
  <r>
    <s v="EMP001"/>
    <x v="122"/>
    <x v="5"/>
    <s v="Morning"/>
    <d v="1899-12-30T08:09:00"/>
    <s v="22:12"/>
    <x v="0"/>
    <x v="1"/>
  </r>
  <r>
    <s v="EMP012"/>
    <x v="123"/>
    <x v="2"/>
    <s v="Morning"/>
    <s v="08:11"/>
    <s v="17:20"/>
    <x v="1"/>
    <x v="1"/>
  </r>
  <r>
    <s v="EMP007"/>
    <x v="124"/>
    <x v="3"/>
    <s v="Morning"/>
    <s v="14:02"/>
    <s v="22:20"/>
    <x v="0"/>
    <x v="0"/>
  </r>
  <r>
    <s v="EMP044"/>
    <x v="125"/>
    <x v="4"/>
    <s v="Evening"/>
    <s v="14:08"/>
    <s v="22:16"/>
    <x v="0"/>
    <x v="0"/>
  </r>
  <r>
    <s v="EMP065"/>
    <x v="126"/>
    <x v="5"/>
    <s v="Evening"/>
    <s v="14:00"/>
    <s v="22:25"/>
    <x v="0"/>
    <x v="0"/>
  </r>
  <r>
    <s v="EMP041"/>
    <x v="127"/>
    <x v="3"/>
    <s v="Morning"/>
    <s v="08:04"/>
    <s v="17:03"/>
    <x v="0"/>
    <x v="1"/>
  </r>
  <r>
    <s v="EMP017"/>
    <x v="128"/>
    <x v="5"/>
    <s v="Evening"/>
    <s v="08:00"/>
    <s v="17:04"/>
    <x v="0"/>
    <x v="1"/>
  </r>
  <r>
    <s v="EMP069"/>
    <x v="129"/>
    <x v="1"/>
    <s v="Evening"/>
    <s v="14:04"/>
    <s v="22:09"/>
    <x v="0"/>
    <x v="0"/>
  </r>
  <r>
    <s v="EMP076"/>
    <x v="130"/>
    <x v="4"/>
    <s v="Morning"/>
    <s v="14:08"/>
    <s v="22:30"/>
    <x v="0"/>
    <x v="0"/>
  </r>
  <r>
    <s v="EMP028"/>
    <x v="131"/>
    <x v="4"/>
    <s v="Morning"/>
    <s v="08:43"/>
    <s v="17:14"/>
    <x v="1"/>
    <x v="1"/>
  </r>
  <r>
    <s v="EMP025"/>
    <x v="132"/>
    <x v="3"/>
    <s v="Morning"/>
    <s v="08:05"/>
    <d v="1899-12-30T17:07:00"/>
    <x v="2"/>
    <x v="1"/>
  </r>
  <r>
    <s v="EMP037"/>
    <x v="133"/>
    <x v="4"/>
    <s v="Evening"/>
    <s v="08:07"/>
    <s v="17:21"/>
    <x v="2"/>
    <x v="1"/>
  </r>
  <r>
    <s v="EMP032"/>
    <x v="134"/>
    <x v="3"/>
    <s v="Evening"/>
    <s v="08:02"/>
    <s v="17:13"/>
    <x v="0"/>
    <x v="1"/>
  </r>
  <r>
    <s v="EMP074"/>
    <x v="64"/>
    <x v="5"/>
    <s v="Morning"/>
    <s v="-"/>
    <s v="-"/>
    <x v="3"/>
    <x v="1"/>
  </r>
  <r>
    <s v="EMP039"/>
    <x v="135"/>
    <x v="0"/>
    <s v="Morning"/>
    <s v="08:34"/>
    <s v="17:30"/>
    <x v="1"/>
    <x v="1"/>
  </r>
  <r>
    <s v="EMP035"/>
    <x v="41"/>
    <x v="3"/>
    <s v="Morning"/>
    <s v="08:02"/>
    <s v="17:21"/>
    <x v="2"/>
    <x v="1"/>
  </r>
  <r>
    <s v="EMP012"/>
    <x v="136"/>
    <x v="0"/>
    <s v="Morning"/>
    <d v="1899-12-30T08:09:00"/>
    <s v="22:12"/>
    <x v="0"/>
    <x v="1"/>
  </r>
  <r>
    <s v="EMP065"/>
    <x v="137"/>
    <x v="5"/>
    <s v="Morning"/>
    <s v="08:08"/>
    <s v="17:30"/>
    <x v="0"/>
    <x v="1"/>
  </r>
  <r>
    <s v="EMP007"/>
    <x v="85"/>
    <x v="3"/>
    <s v="Morning"/>
    <s v="14:06"/>
    <s v="22:24"/>
    <x v="0"/>
    <x v="0"/>
  </r>
  <r>
    <s v="EMP015"/>
    <x v="138"/>
    <x v="0"/>
    <s v="Morning"/>
    <s v="08:05"/>
    <d v="1899-12-30T17:07:00"/>
    <x v="0"/>
    <x v="1"/>
  </r>
  <r>
    <s v="EMP001"/>
    <x v="16"/>
    <x v="2"/>
    <s v="Morning"/>
    <s v="08:00"/>
    <s v="17:20"/>
    <x v="2"/>
    <x v="1"/>
  </r>
  <r>
    <s v="EMP027"/>
    <x v="33"/>
    <x v="2"/>
    <s v="Morning"/>
    <s v="08:00"/>
    <s v="17:25"/>
    <x v="0"/>
    <x v="1"/>
  </r>
  <r>
    <s v="EMP021"/>
    <x v="139"/>
    <x v="4"/>
    <s v="Morning"/>
    <s v="14:06"/>
    <s v="22:08"/>
    <x v="0"/>
    <x v="0"/>
  </r>
  <r>
    <s v="EMP038"/>
    <x v="140"/>
    <x v="5"/>
    <s v="Morning"/>
    <s v="08:06"/>
    <s v="17:05"/>
    <x v="0"/>
    <x v="1"/>
  </r>
  <r>
    <s v="EMP025"/>
    <x v="141"/>
    <x v="2"/>
    <s v="Morning"/>
    <s v="08:09"/>
    <s v="17:25"/>
    <x v="0"/>
    <x v="1"/>
  </r>
  <r>
    <s v="EMP006"/>
    <x v="142"/>
    <x v="4"/>
    <s v="Evening"/>
    <s v="08:15"/>
    <s v="17:00"/>
    <x v="1"/>
    <x v="1"/>
  </r>
  <r>
    <s v="EMP071"/>
    <x v="143"/>
    <x v="3"/>
    <s v="Morning"/>
    <s v="08:02"/>
    <s v="17:17"/>
    <x v="0"/>
    <x v="1"/>
  </r>
  <r>
    <s v="EMP074"/>
    <x v="144"/>
    <x v="5"/>
    <s v="Morning"/>
    <s v="14:00"/>
    <s v="22:30"/>
    <x v="0"/>
    <x v="0"/>
  </r>
  <r>
    <s v="EMP075"/>
    <x v="145"/>
    <x v="2"/>
    <s v="Morning"/>
    <s v="14:05"/>
    <s v="22:27"/>
    <x v="0"/>
    <x v="0"/>
  </r>
  <r>
    <s v="EMP057"/>
    <x v="56"/>
    <x v="3"/>
    <s v="Evening"/>
    <s v="08:00"/>
    <s v="17:20"/>
    <x v="0"/>
    <x v="1"/>
  </r>
  <r>
    <s v="EMP020"/>
    <x v="146"/>
    <x v="2"/>
    <s v="Morning"/>
    <s v="08:20"/>
    <s v="17:05"/>
    <x v="1"/>
    <x v="1"/>
  </r>
  <r>
    <s v="EMP079"/>
    <x v="147"/>
    <x v="4"/>
    <s v="Morning"/>
    <s v="-"/>
    <s v="-"/>
    <x v="3"/>
    <x v="1"/>
  </r>
  <r>
    <s v="EMP079"/>
    <x v="148"/>
    <x v="5"/>
    <s v="Morning"/>
    <s v="08:30"/>
    <s v="17:19"/>
    <x v="1"/>
    <x v="1"/>
  </r>
  <r>
    <s v="EMP010"/>
    <x v="149"/>
    <x v="3"/>
    <s v="Morning"/>
    <s v="08:08"/>
    <s v="17:04"/>
    <x v="2"/>
    <x v="1"/>
  </r>
  <r>
    <s v="EMP027"/>
    <x v="150"/>
    <x v="2"/>
    <s v="Morning"/>
    <s v="-"/>
    <s v="-"/>
    <x v="3"/>
    <x v="1"/>
  </r>
  <r>
    <s v="EMP079"/>
    <x v="28"/>
    <x v="2"/>
    <s v="Morning"/>
    <s v="08:30"/>
    <s v="17:09"/>
    <x v="1"/>
    <x v="1"/>
  </r>
  <r>
    <s v="EMP070"/>
    <x v="151"/>
    <x v="3"/>
    <s v="Evening"/>
    <s v="08:34"/>
    <s v="17:03"/>
    <x v="1"/>
    <x v="1"/>
  </r>
  <r>
    <s v="EMP037"/>
    <x v="83"/>
    <x v="2"/>
    <s v="Morning"/>
    <s v="08:00"/>
    <s v="17:28"/>
    <x v="0"/>
    <x v="1"/>
  </r>
  <r>
    <s v="EMP016"/>
    <x v="152"/>
    <x v="3"/>
    <s v="Morning"/>
    <s v="08:06"/>
    <s v="17:03"/>
    <x v="0"/>
    <x v="1"/>
  </r>
  <r>
    <s v="EMP029"/>
    <x v="153"/>
    <x v="3"/>
    <s v="Morning"/>
    <s v="08:18"/>
    <s v="17:14"/>
    <x v="0"/>
    <x v="1"/>
  </r>
  <r>
    <s v="EMP023"/>
    <x v="10"/>
    <x v="2"/>
    <s v="Morning"/>
    <d v="1899-12-30T08:09:00"/>
    <s v="17:29"/>
    <x v="2"/>
    <x v="1"/>
  </r>
  <r>
    <s v="EMP055"/>
    <x v="154"/>
    <x v="4"/>
    <s v="Morning"/>
    <s v="08:02"/>
    <s v="17:10"/>
    <x v="0"/>
    <x v="1"/>
  </r>
  <r>
    <s v="EMP023"/>
    <x v="155"/>
    <x v="2"/>
    <s v="Morning"/>
    <s v="08:02"/>
    <s v="17:00"/>
    <x v="0"/>
    <x v="1"/>
  </r>
  <r>
    <s v="EMP012"/>
    <x v="156"/>
    <x v="5"/>
    <s v="Morning"/>
    <s v="08:08"/>
    <s v="17:25"/>
    <x v="0"/>
    <x v="1"/>
  </r>
  <r>
    <s v="EMP054"/>
    <x v="153"/>
    <x v="2"/>
    <s v="Morning"/>
    <s v="14:08"/>
    <s v="22:24"/>
    <x v="0"/>
    <x v="0"/>
  </r>
  <r>
    <s v="EMP080"/>
    <x v="157"/>
    <x v="5"/>
    <s v="Morning"/>
    <s v="08:28"/>
    <s v="17:16"/>
    <x v="1"/>
    <x v="1"/>
  </r>
  <r>
    <s v="EMP061"/>
    <x v="158"/>
    <x v="2"/>
    <s v="Morning"/>
    <s v="14:05"/>
    <d v="1899-12-30T22:18:00"/>
    <x v="2"/>
    <x v="0"/>
  </r>
  <r>
    <s v="EMP024"/>
    <x v="149"/>
    <x v="2"/>
    <s v="Morning"/>
    <s v="08:22"/>
    <s v="17:12"/>
    <x v="1"/>
    <x v="1"/>
  </r>
  <r>
    <s v="EMP015"/>
    <x v="159"/>
    <x v="1"/>
    <s v="Morning"/>
    <s v="08:05"/>
    <s v="17:21"/>
    <x v="0"/>
    <x v="1"/>
  </r>
  <r>
    <s v="EMP040"/>
    <x v="160"/>
    <x v="2"/>
    <s v="Morning"/>
    <s v="08:06"/>
    <s v="17:06"/>
    <x v="0"/>
    <x v="1"/>
  </r>
  <r>
    <s v="EMP050"/>
    <x v="33"/>
    <x v="3"/>
    <s v="Evening"/>
    <s v="08:01"/>
    <s v="17:16"/>
    <x v="2"/>
    <x v="1"/>
  </r>
  <r>
    <s v="EMP018"/>
    <x v="161"/>
    <x v="0"/>
    <s v="Evening"/>
    <s v="08:08"/>
    <s v="17:30"/>
    <x v="2"/>
    <x v="1"/>
  </r>
  <r>
    <s v="EMP039"/>
    <x v="162"/>
    <x v="2"/>
    <s v="Morning"/>
    <s v="14:00"/>
    <s v="22:13"/>
    <x v="0"/>
    <x v="0"/>
  </r>
  <r>
    <s v="EMP050"/>
    <x v="163"/>
    <x v="2"/>
    <s v="Morning"/>
    <s v="08:00"/>
    <s v="17:18"/>
    <x v="0"/>
    <x v="1"/>
  </r>
  <r>
    <s v="EMP079"/>
    <x v="164"/>
    <x v="3"/>
    <s v="Morning"/>
    <d v="1899-12-30T08:09:00"/>
    <s v="17:08"/>
    <x v="0"/>
    <x v="1"/>
  </r>
  <r>
    <s v="EMP079"/>
    <x v="165"/>
    <x v="3"/>
    <s v="Morning"/>
    <s v="08:06"/>
    <s v="17:24"/>
    <x v="0"/>
    <x v="1"/>
  </r>
  <r>
    <s v="EMP026"/>
    <x v="166"/>
    <x v="5"/>
    <s v="Evening"/>
    <s v="14:18"/>
    <s v="22:11"/>
    <x v="1"/>
    <x v="0"/>
  </r>
  <r>
    <s v="EMP029"/>
    <x v="167"/>
    <x v="4"/>
    <s v="Morning"/>
    <s v="08:03"/>
    <s v="17:11"/>
    <x v="0"/>
    <x v="1"/>
  </r>
  <r>
    <s v="EMP034"/>
    <x v="168"/>
    <x v="2"/>
    <s v="Evening"/>
    <s v="08:03"/>
    <s v="17:26"/>
    <x v="0"/>
    <x v="1"/>
  </r>
  <r>
    <s v="EMP035"/>
    <x v="93"/>
    <x v="2"/>
    <s v="Morning"/>
    <d v="1899-12-30T08:09:00"/>
    <s v="17:23"/>
    <x v="0"/>
    <x v="1"/>
  </r>
  <r>
    <s v="EMP017"/>
    <x v="29"/>
    <x v="3"/>
    <s v="Evening"/>
    <s v="08:08"/>
    <s v="17:07"/>
    <x v="0"/>
    <x v="1"/>
  </r>
  <r>
    <s v="EMP059"/>
    <x v="99"/>
    <x v="4"/>
    <s v="Morning"/>
    <d v="1899-12-30T08:09:00"/>
    <s v="17:11"/>
    <x v="0"/>
    <x v="1"/>
  </r>
  <r>
    <s v="EMP044"/>
    <x v="169"/>
    <x v="3"/>
    <s v="Evening"/>
    <s v="14:25"/>
    <d v="1899-12-30T22:18:00"/>
    <x v="1"/>
    <x v="0"/>
  </r>
  <r>
    <s v="EMP022"/>
    <x v="170"/>
    <x v="4"/>
    <s v="Morning"/>
    <s v="14:06"/>
    <s v="22:20"/>
    <x v="0"/>
    <x v="0"/>
  </r>
  <r>
    <s v="EMP036"/>
    <x v="47"/>
    <x v="4"/>
    <s v="Morning"/>
    <s v="14:04"/>
    <s v="22:14"/>
    <x v="0"/>
    <x v="0"/>
  </r>
  <r>
    <s v="EMP069"/>
    <x v="171"/>
    <x v="5"/>
    <s v="Evening"/>
    <s v="09:55"/>
    <s v="17:26"/>
    <x v="1"/>
    <x v="1"/>
  </r>
  <r>
    <s v="EMP057"/>
    <x v="13"/>
    <x v="2"/>
    <s v="Evening"/>
    <s v="14:45"/>
    <s v="22:21"/>
    <x v="1"/>
    <x v="0"/>
  </r>
  <r>
    <s v="EMP078"/>
    <x v="129"/>
    <x v="4"/>
    <s v="Evening"/>
    <s v="08:07"/>
    <s v="17:16"/>
    <x v="0"/>
    <x v="1"/>
  </r>
  <r>
    <s v="EMP076"/>
    <x v="27"/>
    <x v="2"/>
    <s v="Morning"/>
    <s v="08:05"/>
    <s v="17:08"/>
    <x v="0"/>
    <x v="1"/>
  </r>
  <r>
    <s v="EMP005"/>
    <x v="79"/>
    <x v="1"/>
    <s v="Morning"/>
    <s v="08:03"/>
    <s v="17:05"/>
    <x v="0"/>
    <x v="1"/>
  </r>
  <r>
    <s v="EMP076"/>
    <x v="172"/>
    <x v="0"/>
    <s v="Morning"/>
    <s v="14:07"/>
    <s v="22:12"/>
    <x v="0"/>
    <x v="0"/>
  </r>
  <r>
    <s v="EMP012"/>
    <x v="173"/>
    <x v="2"/>
    <s v="Morning"/>
    <s v="14:09"/>
    <s v="22:15"/>
    <x v="0"/>
    <x v="0"/>
  </r>
  <r>
    <s v="EMP018"/>
    <x v="174"/>
    <x v="2"/>
    <s v="Morning"/>
    <s v="08:15"/>
    <s v="17:04"/>
    <x v="1"/>
    <x v="1"/>
  </r>
  <r>
    <s v="EMP055"/>
    <x v="175"/>
    <x v="2"/>
    <s v="Morning"/>
    <s v="08:07"/>
    <s v="17:18"/>
    <x v="0"/>
    <x v="1"/>
  </r>
  <r>
    <s v="EMP023"/>
    <x v="176"/>
    <x v="2"/>
    <s v="Morning"/>
    <s v="08:06"/>
    <s v="17:16"/>
    <x v="0"/>
    <x v="1"/>
  </r>
  <r>
    <s v="EMP078"/>
    <x v="137"/>
    <x v="5"/>
    <s v="Evening"/>
    <s v="08:05"/>
    <d v="1899-12-30T17:07:00"/>
    <x v="2"/>
    <x v="1"/>
  </r>
  <r>
    <s v="EMP046"/>
    <x v="12"/>
    <x v="5"/>
    <s v="Evening"/>
    <s v="09:52"/>
    <s v="17:27"/>
    <x v="1"/>
    <x v="1"/>
  </r>
  <r>
    <s v="EMP073"/>
    <x v="177"/>
    <x v="3"/>
    <s v="Morning"/>
    <s v="08:02"/>
    <d v="1899-12-30T17:07:00"/>
    <x v="0"/>
    <x v="1"/>
  </r>
  <r>
    <s v="EMP043"/>
    <x v="115"/>
    <x v="1"/>
    <s v="Evening"/>
    <d v="1899-12-30T14:05:00"/>
    <s v="22:16"/>
    <x v="0"/>
    <x v="0"/>
  </r>
  <r>
    <s v="EMP049"/>
    <x v="96"/>
    <x v="2"/>
    <s v="Morning"/>
    <s v="14:02"/>
    <s v="22:00"/>
    <x v="0"/>
    <x v="0"/>
  </r>
  <r>
    <s v="EMP033"/>
    <x v="178"/>
    <x v="4"/>
    <s v="Morning"/>
    <s v="14:04"/>
    <s v="22:19"/>
    <x v="0"/>
    <x v="0"/>
  </r>
  <r>
    <s v="EMP029"/>
    <x v="179"/>
    <x v="2"/>
    <s v="Evening"/>
    <s v="-"/>
    <s v="-"/>
    <x v="3"/>
    <x v="0"/>
  </r>
  <r>
    <s v="EMP044"/>
    <x v="180"/>
    <x v="4"/>
    <s v="Morning"/>
    <s v="08:05"/>
    <s v="17:13"/>
    <x v="0"/>
    <x v="1"/>
  </r>
  <r>
    <s v="EMP036"/>
    <x v="181"/>
    <x v="2"/>
    <s v="Morning"/>
    <s v="08:05"/>
    <s v="17:00"/>
    <x v="0"/>
    <x v="1"/>
  </r>
  <r>
    <s v="EMP043"/>
    <x v="182"/>
    <x v="2"/>
    <s v="Morning"/>
    <s v="08:08"/>
    <s v="17:01"/>
    <x v="2"/>
    <x v="1"/>
  </r>
  <r>
    <s v="EMP071"/>
    <x v="183"/>
    <x v="2"/>
    <s v="Morning"/>
    <s v="-"/>
    <s v="-"/>
    <x v="3"/>
    <x v="1"/>
  </r>
  <r>
    <s v="EMP058"/>
    <x v="184"/>
    <x v="0"/>
    <s v="Morning"/>
    <s v="14:22"/>
    <s v="22:30"/>
    <x v="1"/>
    <x v="0"/>
  </r>
  <r>
    <s v="EMP001"/>
    <x v="18"/>
    <x v="0"/>
    <s v="Evening"/>
    <s v="08:06"/>
    <s v="17:28"/>
    <x v="0"/>
    <x v="1"/>
  </r>
  <r>
    <s v="EMP033"/>
    <x v="108"/>
    <x v="4"/>
    <s v="Morning"/>
    <s v="08:00"/>
    <s v="17:03"/>
    <x v="0"/>
    <x v="1"/>
  </r>
  <r>
    <s v="EMP066"/>
    <x v="185"/>
    <x v="0"/>
    <s v="Morning"/>
    <s v="08:04"/>
    <s v="17:25"/>
    <x v="2"/>
    <x v="1"/>
  </r>
  <r>
    <s v="EMP055"/>
    <x v="186"/>
    <x v="5"/>
    <s v="Morning"/>
    <s v="08:08"/>
    <s v="17:27"/>
    <x v="0"/>
    <x v="1"/>
  </r>
  <r>
    <s v="EMP008"/>
    <x v="187"/>
    <x v="4"/>
    <s v="Morning"/>
    <s v="08:04"/>
    <s v="17:01"/>
    <x v="0"/>
    <x v="1"/>
  </r>
  <r>
    <s v="EMP030"/>
    <x v="188"/>
    <x v="2"/>
    <s v="Morning"/>
    <s v="14:05"/>
    <s v="22:24"/>
    <x v="0"/>
    <x v="0"/>
  </r>
  <r>
    <s v="EMP019"/>
    <x v="189"/>
    <x v="4"/>
    <s v="Evening"/>
    <s v="14:02"/>
    <s v="22:26"/>
    <x v="0"/>
    <x v="0"/>
  </r>
  <r>
    <s v="EMP045"/>
    <x v="81"/>
    <x v="5"/>
    <s v="Morning"/>
    <s v="-"/>
    <s v="-"/>
    <x v="3"/>
    <x v="1"/>
  </r>
  <r>
    <s v="EMP069"/>
    <x v="85"/>
    <x v="3"/>
    <s v="Evening"/>
    <d v="1899-12-30T14:05:00"/>
    <s v="17:07"/>
    <x v="0"/>
    <x v="0"/>
  </r>
  <r>
    <s v="EMP011"/>
    <x v="190"/>
    <x v="5"/>
    <s v="Evening"/>
    <s v="08:08"/>
    <s v="17:29"/>
    <x v="0"/>
    <x v="1"/>
  </r>
  <r>
    <s v="EMP016"/>
    <x v="191"/>
    <x v="2"/>
    <s v="Morning"/>
    <s v="08:04"/>
    <s v="17:21"/>
    <x v="0"/>
    <x v="1"/>
  </r>
  <r>
    <s v="EMP002"/>
    <x v="192"/>
    <x v="0"/>
    <s v="Morning"/>
    <s v="14:07"/>
    <s v="22:15"/>
    <x v="2"/>
    <x v="0"/>
  </r>
  <r>
    <s v="EMP074"/>
    <x v="54"/>
    <x v="5"/>
    <s v="Morning"/>
    <d v="1899-12-30T08:09:00"/>
    <s v="17:19"/>
    <x v="1"/>
    <x v="1"/>
  </r>
  <r>
    <s v="EMP014"/>
    <x v="71"/>
    <x v="2"/>
    <s v="Morning"/>
    <s v="08:09"/>
    <s v="17:13"/>
    <x v="0"/>
    <x v="1"/>
  </r>
  <r>
    <s v="EMP043"/>
    <x v="193"/>
    <x v="5"/>
    <s v="Evening"/>
    <s v="14:42"/>
    <s v="22:18"/>
    <x v="1"/>
    <x v="0"/>
  </r>
  <r>
    <s v="EMP047"/>
    <x v="36"/>
    <x v="3"/>
    <s v="Morning"/>
    <s v="08:39"/>
    <s v="17:03"/>
    <x v="1"/>
    <x v="1"/>
  </r>
  <r>
    <s v="EMP047"/>
    <x v="194"/>
    <x v="1"/>
    <s v="Evening"/>
    <d v="1899-12-30T14:05:00"/>
    <s v="17:18"/>
    <x v="1"/>
    <x v="0"/>
  </r>
  <r>
    <s v="EMP021"/>
    <x v="195"/>
    <x v="1"/>
    <s v="Morning"/>
    <s v="08:21"/>
    <s v="17:19"/>
    <x v="1"/>
    <x v="1"/>
  </r>
  <r>
    <s v="EMP070"/>
    <x v="196"/>
    <x v="4"/>
    <s v="Morning"/>
    <s v="08:26"/>
    <s v="17:01"/>
    <x v="1"/>
    <x v="1"/>
  </r>
  <r>
    <s v="EMP015"/>
    <x v="135"/>
    <x v="2"/>
    <s v="Morning"/>
    <s v="14:02"/>
    <s v="22:12"/>
    <x v="2"/>
    <x v="0"/>
  </r>
  <r>
    <s v="EMP034"/>
    <x v="12"/>
    <x v="2"/>
    <s v="Evening"/>
    <s v="08:01"/>
    <s v="17:09"/>
    <x v="0"/>
    <x v="1"/>
  </r>
  <r>
    <s v="EMP008"/>
    <x v="197"/>
    <x v="4"/>
    <s v="Morning"/>
    <s v="08:26"/>
    <s v="17:24"/>
    <x v="1"/>
    <x v="1"/>
  </r>
  <r>
    <s v="EMP035"/>
    <x v="198"/>
    <x v="2"/>
    <s v="Evening"/>
    <s v="08:09"/>
    <s v="17:25"/>
    <x v="0"/>
    <x v="1"/>
  </r>
  <r>
    <s v="EMP078"/>
    <x v="199"/>
    <x v="4"/>
    <s v="Morning"/>
    <s v="08:09"/>
    <s v="17:02"/>
    <x v="0"/>
    <x v="1"/>
  </r>
  <r>
    <s v="EMP037"/>
    <x v="200"/>
    <x v="1"/>
    <s v="Evening"/>
    <s v="14:03"/>
    <s v="22:23"/>
    <x v="2"/>
    <x v="0"/>
  </r>
  <r>
    <s v="EMP049"/>
    <x v="201"/>
    <x v="2"/>
    <s v="Morning"/>
    <s v="08:01"/>
    <s v="17:24"/>
    <x v="0"/>
    <x v="1"/>
  </r>
  <r>
    <s v="EMP072"/>
    <x v="202"/>
    <x v="2"/>
    <s v="Morning"/>
    <s v="-"/>
    <s v="-"/>
    <x v="3"/>
    <x v="1"/>
  </r>
  <r>
    <s v="EMP017"/>
    <x v="203"/>
    <x v="2"/>
    <s v="Morning"/>
    <s v="08:03"/>
    <s v="17:27"/>
    <x v="0"/>
    <x v="1"/>
  </r>
  <r>
    <s v="EMP068"/>
    <x v="49"/>
    <x v="0"/>
    <s v="Morning"/>
    <s v="14:04"/>
    <s v="22:01"/>
    <x v="0"/>
    <x v="0"/>
  </r>
  <r>
    <s v="EMP066"/>
    <x v="204"/>
    <x v="3"/>
    <s v="Morning"/>
    <s v="08:19"/>
    <s v="17:18"/>
    <x v="0"/>
    <x v="1"/>
  </r>
  <r>
    <s v="EMP076"/>
    <x v="74"/>
    <x v="3"/>
    <s v="Morning"/>
    <s v="14:05"/>
    <s v="22:25"/>
    <x v="0"/>
    <x v="0"/>
  </r>
  <r>
    <s v="EMP011"/>
    <x v="205"/>
    <x v="1"/>
    <s v="Morning"/>
    <s v="08:01"/>
    <s v="17:26"/>
    <x v="0"/>
    <x v="1"/>
  </r>
  <r>
    <s v="EMP040"/>
    <x v="195"/>
    <x v="2"/>
    <s v="Morning"/>
    <s v="14:02"/>
    <s v="22:27"/>
    <x v="0"/>
    <x v="0"/>
  </r>
  <r>
    <s v="EMP064"/>
    <x v="206"/>
    <x v="2"/>
    <s v="Morning"/>
    <s v="14:01"/>
    <s v="22:18"/>
    <x v="0"/>
    <x v="0"/>
  </r>
  <r>
    <s v="EMP032"/>
    <x v="207"/>
    <x v="3"/>
    <s v="Evening"/>
    <s v="08:06"/>
    <s v="17:29"/>
    <x v="2"/>
    <x v="1"/>
  </r>
  <r>
    <s v="EMP048"/>
    <x v="109"/>
    <x v="3"/>
    <s v="Evening"/>
    <s v="08:05"/>
    <s v="17:25"/>
    <x v="0"/>
    <x v="1"/>
  </r>
  <r>
    <s v="EMP014"/>
    <x v="80"/>
    <x v="2"/>
    <s v="Morning"/>
    <s v="08:00"/>
    <s v="17:05"/>
    <x v="0"/>
    <x v="1"/>
  </r>
  <r>
    <s v="EMP054"/>
    <x v="133"/>
    <x v="4"/>
    <s v="Morning"/>
    <s v="08:07"/>
    <d v="1899-12-30T17:07:00"/>
    <x v="0"/>
    <x v="1"/>
  </r>
  <r>
    <s v="EMP028"/>
    <x v="208"/>
    <x v="0"/>
    <s v="Morning"/>
    <s v="08:05"/>
    <s v="17:02"/>
    <x v="0"/>
    <x v="1"/>
  </r>
  <r>
    <s v="EMP047"/>
    <x v="209"/>
    <x v="2"/>
    <s v="Morning"/>
    <s v="08:02"/>
    <s v="17:26"/>
    <x v="0"/>
    <x v="1"/>
  </r>
  <r>
    <s v="EMP077"/>
    <x v="153"/>
    <x v="1"/>
    <s v="Morning"/>
    <s v="-"/>
    <m/>
    <x v="3"/>
    <x v="1"/>
  </r>
  <r>
    <s v="EMP074"/>
    <x v="210"/>
    <x v="4"/>
    <s v="Morning"/>
    <s v="08:08"/>
    <s v="17:24"/>
    <x v="0"/>
    <x v="1"/>
  </r>
  <r>
    <s v="EMP027"/>
    <x v="211"/>
    <x v="3"/>
    <s v="Morning"/>
    <s v="14:05"/>
    <s v="22:2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770CC-9600-491A-A8A4-A73C2D0163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0:B65" firstHeaderRow="1" firstDataRow="1" firstDataCol="1"/>
  <pivotFields count="8">
    <pivotField dataField="1" showAll="0"/>
    <pivotField numFmtId="164" showAll="0"/>
    <pivotField showAll="0">
      <items count="7">
        <item x="0"/>
        <item x="4"/>
        <item x="1"/>
        <item x="2"/>
        <item x="3"/>
        <item x="5"/>
        <item t="default"/>
      </items>
    </pivotField>
    <pivotField showAll="0"/>
    <pivotField showAll="0"/>
    <pivotField showAll="0"/>
    <pivotField axis="axisRow" showAll="0">
      <items count="5">
        <item x="3"/>
        <item x="1"/>
        <item x="0"/>
        <item x="2"/>
        <item t="default"/>
      </items>
    </pivotField>
    <pivotField showAll="0"/>
  </pivotFields>
  <rowFields count="1">
    <field x="6"/>
  </rowFields>
  <rowItems count="5">
    <i>
      <x/>
    </i>
    <i>
      <x v="1"/>
    </i>
    <i>
      <x v="2"/>
    </i>
    <i>
      <x v="3"/>
    </i>
    <i t="grand">
      <x/>
    </i>
  </rowItems>
  <colItems count="1">
    <i/>
  </colItems>
  <dataFields count="1">
    <dataField name="Count of Employee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2"/>
          </reference>
        </references>
      </pivotArea>
    </chartFormat>
    <chartFormat chart="5"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E98BA2-B21B-41A9-8D6B-B61CD1B218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9:F43" firstHeaderRow="1" firstDataRow="2" firstDataCol="1"/>
  <pivotFields count="8">
    <pivotField dataField="1" showAll="0"/>
    <pivotField numFmtId="164" showAll="0">
      <items count="213">
        <item x="193"/>
        <item x="78"/>
        <item x="116"/>
        <item x="163"/>
        <item x="173"/>
        <item x="98"/>
        <item x="12"/>
        <item x="48"/>
        <item x="111"/>
        <item x="59"/>
        <item x="139"/>
        <item x="186"/>
        <item x="121"/>
        <item x="181"/>
        <item x="6"/>
        <item x="5"/>
        <item x="24"/>
        <item x="92"/>
        <item x="179"/>
        <item x="38"/>
        <item x="128"/>
        <item x="53"/>
        <item x="130"/>
        <item x="108"/>
        <item x="51"/>
        <item x="124"/>
        <item x="204"/>
        <item x="68"/>
        <item x="150"/>
        <item x="125"/>
        <item x="136"/>
        <item x="7"/>
        <item x="196"/>
        <item x="39"/>
        <item x="175"/>
        <item x="65"/>
        <item x="33"/>
        <item x="115"/>
        <item x="205"/>
        <item x="192"/>
        <item x="66"/>
        <item x="208"/>
        <item x="10"/>
        <item x="74"/>
        <item x="2"/>
        <item x="202"/>
        <item x="54"/>
        <item x="15"/>
        <item x="120"/>
        <item x="19"/>
        <item x="58"/>
        <item x="126"/>
        <item x="105"/>
        <item x="166"/>
        <item x="187"/>
        <item x="156"/>
        <item x="44"/>
        <item x="141"/>
        <item x="178"/>
        <item x="148"/>
        <item x="100"/>
        <item x="171"/>
        <item x="197"/>
        <item x="57"/>
        <item x="146"/>
        <item x="109"/>
        <item x="185"/>
        <item x="134"/>
        <item x="190"/>
        <item x="85"/>
        <item x="87"/>
        <item x="189"/>
        <item x="211"/>
        <item x="118"/>
        <item x="80"/>
        <item x="184"/>
        <item x="103"/>
        <item x="160"/>
        <item x="119"/>
        <item x="71"/>
        <item x="30"/>
        <item x="42"/>
        <item x="133"/>
        <item x="195"/>
        <item x="41"/>
        <item x="32"/>
        <item x="158"/>
        <item x="77"/>
        <item x="147"/>
        <item x="73"/>
        <item x="137"/>
        <item x="199"/>
        <item x="37"/>
        <item x="35"/>
        <item x="122"/>
        <item x="159"/>
        <item x="191"/>
        <item x="31"/>
        <item x="9"/>
        <item x="22"/>
        <item x="21"/>
        <item x="152"/>
        <item x="4"/>
        <item x="16"/>
        <item x="155"/>
        <item x="0"/>
        <item x="69"/>
        <item x="110"/>
        <item x="182"/>
        <item x="94"/>
        <item x="151"/>
        <item x="52"/>
        <item x="27"/>
        <item x="200"/>
        <item x="161"/>
        <item x="169"/>
        <item x="135"/>
        <item x="14"/>
        <item x="167"/>
        <item x="154"/>
        <item x="140"/>
        <item x="60"/>
        <item x="149"/>
        <item x="183"/>
        <item x="96"/>
        <item x="101"/>
        <item x="43"/>
        <item x="172"/>
        <item x="20"/>
        <item x="25"/>
        <item x="102"/>
        <item x="207"/>
        <item x="50"/>
        <item x="143"/>
        <item x="106"/>
        <item x="3"/>
        <item x="104"/>
        <item x="165"/>
        <item x="99"/>
        <item x="164"/>
        <item x="201"/>
        <item x="210"/>
        <item x="81"/>
        <item x="97"/>
        <item x="188"/>
        <item x="177"/>
        <item x="56"/>
        <item x="209"/>
        <item x="76"/>
        <item x="91"/>
        <item x="153"/>
        <item x="79"/>
        <item x="89"/>
        <item x="206"/>
        <item x="55"/>
        <item x="70"/>
        <item x="117"/>
        <item x="142"/>
        <item x="174"/>
        <item x="18"/>
        <item x="168"/>
        <item x="62"/>
        <item x="1"/>
        <item x="157"/>
        <item x="162"/>
        <item x="84"/>
        <item x="29"/>
        <item x="93"/>
        <item x="144"/>
        <item x="36"/>
        <item x="17"/>
        <item x="113"/>
        <item x="28"/>
        <item x="23"/>
        <item x="112"/>
        <item x="176"/>
        <item x="132"/>
        <item x="86"/>
        <item x="90"/>
        <item x="64"/>
        <item x="61"/>
        <item x="75"/>
        <item x="114"/>
        <item x="13"/>
        <item x="11"/>
        <item x="63"/>
        <item x="83"/>
        <item x="95"/>
        <item x="170"/>
        <item x="138"/>
        <item x="67"/>
        <item x="203"/>
        <item x="129"/>
        <item x="34"/>
        <item x="40"/>
        <item x="145"/>
        <item x="198"/>
        <item x="194"/>
        <item x="123"/>
        <item x="72"/>
        <item x="131"/>
        <item x="127"/>
        <item x="45"/>
        <item x="8"/>
        <item x="180"/>
        <item x="107"/>
        <item x="47"/>
        <item x="82"/>
        <item x="88"/>
        <item x="26"/>
        <item x="46"/>
        <item x="49"/>
        <item t="default"/>
      </items>
    </pivotField>
    <pivotField showAll="0">
      <items count="7">
        <item x="0"/>
        <item x="4"/>
        <item x="1"/>
        <item x="2"/>
        <item x="3"/>
        <item x="5"/>
        <item t="default"/>
      </items>
    </pivotField>
    <pivotField showAll="0"/>
    <pivotField showAll="0"/>
    <pivotField showAll="0"/>
    <pivotField axis="axisCol" showAll="0">
      <items count="5">
        <item x="3"/>
        <item x="1"/>
        <item x="0"/>
        <item x="2"/>
        <item t="default"/>
      </items>
    </pivotField>
    <pivotField axis="axisRow" showAll="0">
      <items count="3">
        <item x="0"/>
        <item x="1"/>
        <item t="default"/>
      </items>
    </pivotField>
  </pivotFields>
  <rowFields count="1">
    <field x="7"/>
  </rowFields>
  <rowItems count="3">
    <i>
      <x/>
    </i>
    <i>
      <x v="1"/>
    </i>
    <i t="grand">
      <x/>
    </i>
  </rowItems>
  <colFields count="1">
    <field x="6"/>
  </colFields>
  <colItems count="5">
    <i>
      <x/>
    </i>
    <i>
      <x v="1"/>
    </i>
    <i>
      <x v="2"/>
    </i>
    <i>
      <x v="3"/>
    </i>
    <i t="grand">
      <x/>
    </i>
  </colItems>
  <dataFields count="1">
    <dataField name="Count of Employee_ID" fld="0"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B1452-885A-4950-8B4D-09D91CFCE6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6" firstHeaderRow="1" firstDataRow="1" firstDataCol="1"/>
  <pivotFields count="8">
    <pivotField dataField="1" showAll="0"/>
    <pivotField numFmtId="164" showAll="0"/>
    <pivotField axis="axisRow" showAll="0">
      <items count="7">
        <item x="0"/>
        <item x="4"/>
        <item x="1"/>
        <item x="2"/>
        <item x="3"/>
        <item x="5"/>
        <item t="default"/>
      </items>
    </pivotField>
    <pivotField showAll="0"/>
    <pivotField showAll="0"/>
    <pivotField showAll="0"/>
    <pivotField showAll="0">
      <items count="5">
        <item x="3"/>
        <item x="1"/>
        <item x="0"/>
        <item x="2"/>
        <item t="default"/>
      </items>
    </pivotField>
    <pivotField showAll="0">
      <items count="3">
        <item x="0"/>
        <item x="1"/>
        <item t="default"/>
      </items>
    </pivotField>
  </pivotFields>
  <rowFields count="1">
    <field x="2"/>
  </rowFields>
  <rowItems count="7">
    <i>
      <x/>
    </i>
    <i>
      <x v="1"/>
    </i>
    <i>
      <x v="2"/>
    </i>
    <i>
      <x v="3"/>
    </i>
    <i>
      <x v="4"/>
    </i>
    <i>
      <x v="5"/>
    </i>
    <i t="grand">
      <x/>
    </i>
  </rowItems>
  <colItems count="1">
    <i/>
  </colItems>
  <dataFields count="1">
    <dataField name="Count of Employee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0"/>
          </reference>
        </references>
      </pivotArea>
    </chartFormat>
    <chartFormat chart="5" format="14">
      <pivotArea type="data" outline="0" fieldPosition="0">
        <references count="2">
          <reference field="4294967294" count="1" selected="0">
            <x v="0"/>
          </reference>
          <reference field="2" count="1" selected="0">
            <x v="1"/>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C26722-1116-4454-BEBF-77D55F56557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F11" firstHeaderRow="1" firstDataRow="2" firstDataCol="1"/>
  <pivotFields count="8">
    <pivotField dataField="1" showAll="0"/>
    <pivotField numFmtId="164" showAll="0">
      <items count="213">
        <item x="193"/>
        <item x="78"/>
        <item x="116"/>
        <item x="163"/>
        <item x="173"/>
        <item x="98"/>
        <item x="12"/>
        <item x="48"/>
        <item x="111"/>
        <item x="59"/>
        <item x="139"/>
        <item x="186"/>
        <item x="121"/>
        <item x="181"/>
        <item x="6"/>
        <item x="5"/>
        <item x="24"/>
        <item x="92"/>
        <item x="179"/>
        <item x="38"/>
        <item x="128"/>
        <item x="53"/>
        <item x="130"/>
        <item x="108"/>
        <item x="51"/>
        <item x="124"/>
        <item x="204"/>
        <item x="68"/>
        <item x="150"/>
        <item x="125"/>
        <item x="136"/>
        <item x="7"/>
        <item x="196"/>
        <item x="39"/>
        <item x="175"/>
        <item x="65"/>
        <item x="33"/>
        <item x="115"/>
        <item x="205"/>
        <item x="192"/>
        <item x="66"/>
        <item x="208"/>
        <item x="10"/>
        <item x="74"/>
        <item x="2"/>
        <item x="202"/>
        <item x="54"/>
        <item x="15"/>
        <item x="120"/>
        <item x="19"/>
        <item x="58"/>
        <item x="126"/>
        <item x="105"/>
        <item x="166"/>
        <item x="187"/>
        <item x="156"/>
        <item x="44"/>
        <item x="141"/>
        <item x="178"/>
        <item x="148"/>
        <item x="100"/>
        <item x="171"/>
        <item x="197"/>
        <item x="57"/>
        <item x="146"/>
        <item x="109"/>
        <item x="185"/>
        <item x="134"/>
        <item x="190"/>
        <item x="85"/>
        <item x="87"/>
        <item x="189"/>
        <item x="211"/>
        <item x="118"/>
        <item x="80"/>
        <item x="184"/>
        <item x="103"/>
        <item x="160"/>
        <item x="119"/>
        <item x="71"/>
        <item x="30"/>
        <item x="42"/>
        <item x="133"/>
        <item x="195"/>
        <item x="41"/>
        <item x="32"/>
        <item x="158"/>
        <item x="77"/>
        <item x="147"/>
        <item x="73"/>
        <item x="137"/>
        <item x="199"/>
        <item x="37"/>
        <item x="35"/>
        <item x="122"/>
        <item x="159"/>
        <item x="191"/>
        <item x="31"/>
        <item x="9"/>
        <item x="22"/>
        <item x="21"/>
        <item x="152"/>
        <item x="4"/>
        <item x="16"/>
        <item x="155"/>
        <item x="0"/>
        <item x="69"/>
        <item x="110"/>
        <item x="182"/>
        <item x="94"/>
        <item x="151"/>
        <item x="52"/>
        <item x="27"/>
        <item x="200"/>
        <item x="161"/>
        <item x="169"/>
        <item x="135"/>
        <item x="14"/>
        <item x="167"/>
        <item x="154"/>
        <item x="140"/>
        <item x="60"/>
        <item x="149"/>
        <item x="183"/>
        <item x="96"/>
        <item x="101"/>
        <item x="43"/>
        <item x="172"/>
        <item x="20"/>
        <item x="25"/>
        <item x="102"/>
        <item x="207"/>
        <item x="50"/>
        <item x="143"/>
        <item x="106"/>
        <item x="3"/>
        <item x="104"/>
        <item x="165"/>
        <item x="99"/>
        <item x="164"/>
        <item x="201"/>
        <item x="210"/>
        <item x="81"/>
        <item x="97"/>
        <item x="188"/>
        <item x="177"/>
        <item x="56"/>
        <item x="209"/>
        <item x="76"/>
        <item x="91"/>
        <item x="153"/>
        <item x="79"/>
        <item x="89"/>
        <item x="206"/>
        <item x="55"/>
        <item x="70"/>
        <item x="117"/>
        <item x="142"/>
        <item x="174"/>
        <item x="18"/>
        <item x="168"/>
        <item x="62"/>
        <item x="1"/>
        <item x="157"/>
        <item x="162"/>
        <item x="84"/>
        <item x="29"/>
        <item x="93"/>
        <item x="144"/>
        <item x="36"/>
        <item x="17"/>
        <item x="113"/>
        <item x="28"/>
        <item x="23"/>
        <item x="112"/>
        <item x="176"/>
        <item x="132"/>
        <item x="86"/>
        <item x="90"/>
        <item x="64"/>
        <item x="61"/>
        <item x="75"/>
        <item x="114"/>
        <item x="13"/>
        <item x="11"/>
        <item x="63"/>
        <item x="83"/>
        <item x="95"/>
        <item x="170"/>
        <item x="138"/>
        <item x="67"/>
        <item x="203"/>
        <item x="129"/>
        <item x="34"/>
        <item x="40"/>
        <item x="145"/>
        <item x="198"/>
        <item x="194"/>
        <item x="123"/>
        <item x="72"/>
        <item x="131"/>
        <item x="127"/>
        <item x="45"/>
        <item x="8"/>
        <item x="180"/>
        <item x="107"/>
        <item x="47"/>
        <item x="82"/>
        <item x="88"/>
        <item x="26"/>
        <item x="46"/>
        <item x="49"/>
        <item t="default"/>
      </items>
    </pivotField>
    <pivotField axis="axisRow" showAll="0">
      <items count="7">
        <item x="0"/>
        <item x="4"/>
        <item x="1"/>
        <item x="2"/>
        <item x="3"/>
        <item x="5"/>
        <item t="default"/>
      </items>
    </pivotField>
    <pivotField showAll="0"/>
    <pivotField showAll="0"/>
    <pivotField showAll="0"/>
    <pivotField axis="axisCol" showAll="0">
      <items count="5">
        <item x="3"/>
        <item x="1"/>
        <item x="0"/>
        <item x="2"/>
        <item t="default"/>
      </items>
    </pivotField>
    <pivotField showAll="0">
      <items count="3">
        <item x="0"/>
        <item x="1"/>
        <item t="default"/>
      </items>
    </pivotField>
  </pivotFields>
  <rowFields count="1">
    <field x="2"/>
  </rowFields>
  <rowItems count="7">
    <i>
      <x/>
    </i>
    <i>
      <x v="1"/>
    </i>
    <i>
      <x v="2"/>
    </i>
    <i>
      <x v="3"/>
    </i>
    <i>
      <x v="4"/>
    </i>
    <i>
      <x v="5"/>
    </i>
    <i t="grand">
      <x/>
    </i>
  </rowItems>
  <colFields count="1">
    <field x="6"/>
  </colFields>
  <colItems count="5">
    <i>
      <x/>
    </i>
    <i>
      <x v="1"/>
    </i>
    <i>
      <x v="2"/>
    </i>
    <i>
      <x v="3"/>
    </i>
    <i t="grand">
      <x/>
    </i>
  </colItems>
  <dataFields count="1">
    <dataField name="Count of Employee_ID" fld="0"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3" format="8" series="1">
      <pivotArea type="data" outline="0" fieldPosition="0">
        <references count="2">
          <reference field="4294967294" count="1" selected="0">
            <x v="0"/>
          </reference>
          <reference field="6" count="1" selected="0">
            <x v="0"/>
          </reference>
        </references>
      </pivotArea>
    </chartFormat>
    <chartFormat chart="3" format="9" series="1">
      <pivotArea type="data" outline="0" fieldPosition="0">
        <references count="2">
          <reference field="4294967294" count="1" selected="0">
            <x v="0"/>
          </reference>
          <reference field="6" count="1" selected="0">
            <x v="1"/>
          </reference>
        </references>
      </pivotArea>
    </chartFormat>
    <chartFormat chart="3" format="10" series="1">
      <pivotArea type="data" outline="0" fieldPosition="0">
        <references count="2">
          <reference field="4294967294" count="1" selected="0">
            <x v="0"/>
          </reference>
          <reference field="6" count="1" selected="0">
            <x v="2"/>
          </reference>
        </references>
      </pivotArea>
    </chartFormat>
    <chartFormat chart="3"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DB429A0-D361-4400-9663-1AFB5D46BFF1}" sourceName="Department">
  <pivotTables>
    <pivotTable tabId="8" name="PivotTable1"/>
    <pivotTable tabId="8" name="PivotTable2"/>
    <pivotTable tabId="8" name="PivotTable3"/>
    <pivotTable tabId="8" name="PivotTable4"/>
  </pivotTables>
  <data>
    <tabular pivotCacheId="968610972">
      <items count="6">
        <i x="0" s="1"/>
        <i x="4" s="1"/>
        <i x="1"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rrect_Shift" xr10:uid="{9E4D7CF4-1349-46AE-82D8-612B62A32F18}" sourceName="Correct Shift">
  <pivotTables>
    <pivotTable tabId="8" name="PivotTable1"/>
    <pivotTable tabId="8" name="PivotTable2"/>
    <pivotTable tabId="8" name="PivotTable3"/>
  </pivotTables>
  <data>
    <tabular pivotCacheId="96861097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Status" xr10:uid="{D37A08AF-712F-40D3-BE90-835F14F8012F}" sourceName="Attendance_Status">
  <pivotTables>
    <pivotTable tabId="8" name="PivotTable3"/>
    <pivotTable tabId="8" name="PivotTable1"/>
    <pivotTable tabId="8" name="PivotTable2"/>
  </pivotTables>
  <data>
    <tabular pivotCacheId="96861097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3EF4181-ED49-4FBA-8198-92A85680E7C8}" cache="Slicer_Department" caption="Department" rowHeight="241300"/>
  <slicer name="Correct Shift" xr10:uid="{12968AD4-5C81-4751-93BC-FF1E2213C2E5}" cache="Slicer_Correct_Shift" caption="Correct Shift" rowHeight="241300"/>
  <slicer name="Attendance_Status" xr10:uid="{5DA624F9-47A1-49EC-9CEE-AA5C4248D9E1}" cache="Slicer_Attendance_Status" caption="Attendance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5F5AC-C514-4928-874F-391BF50071E4}" name="Table1" displayName="Table1" ref="A1:G301" totalsRowShown="0" headerRowDxfId="1">
  <autoFilter ref="A1:G301" xr:uid="{8C55F5AC-C514-4928-874F-391BF50071E4}"/>
  <tableColumns count="7">
    <tableColumn id="1" xr3:uid="{24489714-A500-4CBF-B6EF-8CFB55BF5640}" name="Employee_ID"/>
    <tableColumn id="2" xr3:uid="{4D754965-B075-4351-A8C2-190B9121C928}" name="Attendance_Date" dataDxfId="0"/>
    <tableColumn id="3" xr3:uid="{1064BF96-8238-4ADC-B3C1-ACC0BFA13D86}" name="Department"/>
    <tableColumn id="4" xr3:uid="{E068EBA8-12DF-42F8-93D4-2EF19892C530}" name="Shift"/>
    <tableColumn id="5" xr3:uid="{C6155423-6F20-4446-9763-35462FE31B6F}" name="Check_In"/>
    <tableColumn id="6" xr3:uid="{93061516-24BD-47D2-8481-3E8E87BD36BD}" name="Check_Out"/>
    <tableColumn id="7" xr3:uid="{0CAE3105-507E-4C80-95E1-FD148C367316}" name="Attendance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D9294AB-0645-4EEC-904E-A49D59462F17}" name="Table1517" displayName="Table1517" ref="A1:H262" totalsRowShown="0" headerRowCellStyle="Normal" dataCellStyle="Normal">
  <autoFilter ref="A1:H262" xr:uid="{1D9294AB-0645-4EEC-904E-A49D59462F17}"/>
  <tableColumns count="8">
    <tableColumn id="1" xr3:uid="{7BB2194F-A94F-4720-AF88-80E5DF0603BC}" name="Employee_ID" dataCellStyle="Normal"/>
    <tableColumn id="2" xr3:uid="{1EAD1C51-E168-4976-B173-48B8AC590807}" name="Attendance_Date" dataDxfId="6" dataCellStyle="Normal"/>
    <tableColumn id="3" xr3:uid="{3EBDBCF4-4741-4402-B568-7FF7F505A374}" name="Department" dataCellStyle="Normal"/>
    <tableColumn id="4" xr3:uid="{83284870-43E2-4A00-A7A1-011401C98054}" name="Shift" dataCellStyle="Normal"/>
    <tableColumn id="5" xr3:uid="{1A8D278C-45A4-43D5-B3F3-167E7601EED2}" name="Check_In" dataDxfId="5" dataCellStyle="Normal"/>
    <tableColumn id="6" xr3:uid="{0273EDA2-85FA-44B1-BE5E-6D8D830DB842}" name="Check_Out" dataDxfId="4" dataCellStyle="Normal"/>
    <tableColumn id="7" xr3:uid="{E72137E6-C5C9-4BBA-9E18-ED2C544E01DE}" name="Attendance_Status" dataCellStyle="Normal"/>
    <tableColumn id="8" xr3:uid="{7C3C5148-47C1-4AD1-A6BB-685EACE462B3}" name="Correct Shift" dataCellStyle="Normal">
      <calculatedColumnFormula>IFERROR(IF(TIMEVALUE(E2)&lt;TIME(12,0,0),"Morning","Evening"),D2)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DD09D92-FB1D-46FD-A118-E2EE1EBCD78D}" name="Table518" displayName="Table518" ref="W5:Z12" totalsRowShown="0">
  <autoFilter ref="W5:Z12" xr:uid="{9DD09D92-FB1D-46FD-A118-E2EE1EBCD78D}"/>
  <tableColumns count="4">
    <tableColumn id="1" xr3:uid="{ABDD26EF-5B25-48C8-A250-4155343F745B}" name="Column"/>
    <tableColumn id="2" xr3:uid="{6E213B36-9D47-4B2A-B934-1909D7600AA4}" name="Missing"/>
    <tableColumn id="3" xr3:uid="{02213210-C059-48FC-AC3C-F73667EDAECC}" name="Best Method"/>
    <tableColumn id="4" xr3:uid="{7968958C-C5E0-438E-8C7E-97D6260D1B01}" name="Reas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3C02A2-7098-4D0A-9C3B-4E065ABC5459}" name="Table620" displayName="Table620" ref="S5:T10" totalsRowShown="0">
  <autoFilter ref="S5:T10" xr:uid="{A33C02A2-7098-4D0A-9C3B-4E065ABC5459}"/>
  <tableColumns count="2">
    <tableColumn id="1" xr3:uid="{0D39D82B-0869-4C8F-A382-40979A02F050}" name="Column"/>
    <tableColumn id="2" xr3:uid="{D15E2BDF-AD83-43C1-9D6F-F546D2D92E66}" name="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5B05421-A4D0-476F-B2FE-86E09CA8D6C8}" name="Table721" displayName="Table721" ref="S12:T18" totalsRowShown="0">
  <autoFilter ref="S12:T18" xr:uid="{E5B05421-A4D0-476F-B2FE-86E09CA8D6C8}"/>
  <tableColumns count="2">
    <tableColumn id="1" xr3:uid="{136BB4B6-D679-4903-AC8C-7A026864970C}" name="departments"/>
    <tableColumn id="2" xr3:uid="{96E3DBA0-2D5C-4693-ADEF-DE2253F49D8F}" name="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A8DC1AB-55B9-4B8D-B7E2-A5CCD550DC8D}" name="Table21" displayName="Table21" ref="S22:T24" totalsRowShown="0">
  <autoFilter ref="S22:T24" xr:uid="{0A8DC1AB-55B9-4B8D-B7E2-A5CCD550DC8D}"/>
  <tableColumns count="2">
    <tableColumn id="1" xr3:uid="{5B36A450-579B-4FB0-B26F-5116F33A8CD1}" name="Column1"/>
    <tableColumn id="2" xr3:uid="{49E8A8EB-CF31-4166-8388-D476AC18F0C0}" name="Column2"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A0C5FD1-D4EB-4950-A60A-3F75286241F3}" name="Table22" displayName="Table22" ref="S35:T36" totalsRowShown="0">
  <autoFilter ref="S35:T36" xr:uid="{AA0C5FD1-D4EB-4950-A60A-3F75286241F3}"/>
  <tableColumns count="2">
    <tableColumn id="1" xr3:uid="{30351217-FA0B-4383-8DDC-E43A2F956C34}" name="Morning Check_Out Median"/>
    <tableColumn id="2" xr3:uid="{C9C1C5D0-EAD3-4E1C-85D9-45FDF3DE1D87}" name="17:07"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ttendance_Date" xr10:uid="{9B15CCBB-FA3B-474C-AEBD-06D68A276153}" sourceName="Attendance_Date">
  <pivotTables>
    <pivotTable tabId="8" name="PivotTable1"/>
  </pivotTables>
  <state minimalRefreshVersion="6" lastRefreshVersion="6" pivotCacheId="96861097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ttendance_Date" xr10:uid="{E097C4B1-F5EE-44B3-97ED-299B39CF447A}" cache="NativeTimeline_Attendance_Date" caption="Attendance_Date" level="2" selectionLevel="2" scrollPosition="2026-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F856E-D65F-4F88-B27D-0D8340D8DD21}">
  <dimension ref="A1:G301"/>
  <sheetViews>
    <sheetView workbookViewId="0">
      <selection activeCell="I12" sqref="I12"/>
    </sheetView>
  </sheetViews>
  <sheetFormatPr defaultRowHeight="15"/>
  <cols>
    <col min="1" max="1" width="14.85546875" customWidth="1"/>
    <col min="2" max="2" width="18.7109375" customWidth="1"/>
    <col min="3" max="3" width="13.5703125" customWidth="1"/>
    <col min="4" max="4" width="9.42578125" bestFit="1" customWidth="1"/>
    <col min="5" max="5" width="11.42578125" customWidth="1"/>
    <col min="6" max="6" width="13.140625" customWidth="1"/>
    <col min="7" max="7" width="20.42578125" customWidth="1"/>
  </cols>
  <sheetData>
    <row r="1" spans="1:7">
      <c r="A1" s="1" t="s">
        <v>0</v>
      </c>
      <c r="B1" s="1" t="s">
        <v>1</v>
      </c>
      <c r="C1" s="1" t="s">
        <v>2</v>
      </c>
      <c r="D1" s="1" t="s">
        <v>3</v>
      </c>
      <c r="E1" s="1" t="s">
        <v>4</v>
      </c>
      <c r="F1" s="1" t="s">
        <v>5</v>
      </c>
      <c r="G1" s="1" t="s">
        <v>6</v>
      </c>
    </row>
    <row r="2" spans="1:7">
      <c r="A2" t="s">
        <v>7</v>
      </c>
      <c r="B2" s="2">
        <v>45939</v>
      </c>
      <c r="C2" t="s">
        <v>8</v>
      </c>
      <c r="D2" t="s">
        <v>9</v>
      </c>
      <c r="E2" t="s">
        <v>10</v>
      </c>
      <c r="F2" t="s">
        <v>11</v>
      </c>
      <c r="G2" t="s">
        <v>12</v>
      </c>
    </row>
    <row r="3" spans="1:7">
      <c r="A3" t="s">
        <v>13</v>
      </c>
      <c r="B3" s="2">
        <v>46103</v>
      </c>
      <c r="C3" t="s">
        <v>14</v>
      </c>
      <c r="D3" t="s">
        <v>9</v>
      </c>
      <c r="E3" t="s">
        <v>15</v>
      </c>
      <c r="F3" t="s">
        <v>16</v>
      </c>
      <c r="G3" t="s">
        <v>12</v>
      </c>
    </row>
    <row r="4" spans="1:7">
      <c r="A4" t="s">
        <v>17</v>
      </c>
      <c r="B4" s="2">
        <v>45778</v>
      </c>
      <c r="C4" t="s">
        <v>8</v>
      </c>
      <c r="D4" t="s">
        <v>18</v>
      </c>
      <c r="E4" t="s">
        <v>19</v>
      </c>
      <c r="F4" t="s">
        <v>20</v>
      </c>
      <c r="G4" t="s">
        <v>21</v>
      </c>
    </row>
    <row r="5" spans="1:7">
      <c r="A5" t="s">
        <v>22</v>
      </c>
      <c r="B5" s="2">
        <v>46026</v>
      </c>
      <c r="C5" t="s">
        <v>23</v>
      </c>
      <c r="D5" t="s">
        <v>9</v>
      </c>
      <c r="F5" t="s">
        <v>24</v>
      </c>
      <c r="G5" t="s">
        <v>12</v>
      </c>
    </row>
    <row r="6" spans="1:7">
      <c r="A6" t="s">
        <v>25</v>
      </c>
      <c r="B6" s="2">
        <v>45932</v>
      </c>
      <c r="C6" t="s">
        <v>26</v>
      </c>
      <c r="D6" t="s">
        <v>9</v>
      </c>
      <c r="E6" t="s">
        <v>27</v>
      </c>
      <c r="F6" t="s">
        <v>28</v>
      </c>
      <c r="G6" t="s">
        <v>21</v>
      </c>
    </row>
    <row r="7" spans="1:7">
      <c r="A7" t="s">
        <v>29</v>
      </c>
      <c r="B7" s="2">
        <v>45696</v>
      </c>
      <c r="C7" t="s">
        <v>30</v>
      </c>
      <c r="E7" t="s">
        <v>31</v>
      </c>
      <c r="F7" t="s">
        <v>32</v>
      </c>
      <c r="G7" t="s">
        <v>33</v>
      </c>
    </row>
    <row r="8" spans="1:7">
      <c r="A8" t="s">
        <v>34</v>
      </c>
      <c r="B8" s="2">
        <v>45692</v>
      </c>
      <c r="C8" t="s">
        <v>35</v>
      </c>
      <c r="D8" t="s">
        <v>36</v>
      </c>
      <c r="E8" t="s">
        <v>37</v>
      </c>
      <c r="F8" t="s">
        <v>38</v>
      </c>
      <c r="G8" t="s">
        <v>21</v>
      </c>
    </row>
    <row r="9" spans="1:7">
      <c r="A9" t="s">
        <v>39</v>
      </c>
      <c r="B9" s="2">
        <v>45748</v>
      </c>
      <c r="C9" t="s">
        <v>8</v>
      </c>
      <c r="D9" t="s">
        <v>18</v>
      </c>
      <c r="E9" t="s">
        <v>40</v>
      </c>
      <c r="F9" t="s">
        <v>40</v>
      </c>
      <c r="G9" t="s">
        <v>41</v>
      </c>
    </row>
    <row r="10" spans="1:7">
      <c r="A10" t="s">
        <v>42</v>
      </c>
      <c r="B10" s="2">
        <v>46210</v>
      </c>
      <c r="C10" t="s">
        <v>26</v>
      </c>
      <c r="D10" t="s">
        <v>18</v>
      </c>
      <c r="E10" t="s">
        <v>43</v>
      </c>
      <c r="F10" t="s">
        <v>44</v>
      </c>
      <c r="G10" t="s">
        <v>12</v>
      </c>
    </row>
    <row r="11" spans="1:7">
      <c r="A11" t="s">
        <v>45</v>
      </c>
      <c r="B11" s="2">
        <v>45921</v>
      </c>
      <c r="C11" t="s">
        <v>26</v>
      </c>
      <c r="D11" t="s">
        <v>18</v>
      </c>
      <c r="F11" t="s">
        <v>40</v>
      </c>
      <c r="G11" t="s">
        <v>41</v>
      </c>
    </row>
    <row r="12" spans="1:7">
      <c r="A12" t="s">
        <v>46</v>
      </c>
      <c r="B12" s="2">
        <v>45774</v>
      </c>
      <c r="C12" t="s">
        <v>23</v>
      </c>
      <c r="D12" t="s">
        <v>9</v>
      </c>
      <c r="E12" t="s">
        <v>47</v>
      </c>
      <c r="F12" t="s">
        <v>48</v>
      </c>
      <c r="G12" t="s">
        <v>12</v>
      </c>
    </row>
    <row r="13" spans="1:7">
      <c r="A13" t="s">
        <v>49</v>
      </c>
      <c r="B13" s="2">
        <v>46168</v>
      </c>
      <c r="C13" t="s">
        <v>30</v>
      </c>
      <c r="D13" t="s">
        <v>18</v>
      </c>
      <c r="E13" t="s">
        <v>50</v>
      </c>
      <c r="F13" t="s">
        <v>48</v>
      </c>
      <c r="G13" t="s">
        <v>12</v>
      </c>
    </row>
    <row r="14" spans="1:7">
      <c r="A14" t="s">
        <v>51</v>
      </c>
      <c r="B14" s="2">
        <v>45671</v>
      </c>
      <c r="C14" t="s">
        <v>26</v>
      </c>
      <c r="D14" t="s">
        <v>9</v>
      </c>
      <c r="E14" t="s">
        <v>52</v>
      </c>
      <c r="F14" t="s">
        <v>24</v>
      </c>
      <c r="G14" t="s">
        <v>12</v>
      </c>
    </row>
    <row r="15" spans="1:7">
      <c r="A15" t="s">
        <v>53</v>
      </c>
      <c r="B15" s="2">
        <v>46167</v>
      </c>
      <c r="C15" t="s">
        <v>35</v>
      </c>
      <c r="D15" t="s">
        <v>9</v>
      </c>
      <c r="E15" t="s">
        <v>54</v>
      </c>
      <c r="F15" t="s">
        <v>55</v>
      </c>
      <c r="G15" t="s">
        <v>12</v>
      </c>
    </row>
    <row r="16" spans="1:7">
      <c r="A16" t="s">
        <v>56</v>
      </c>
      <c r="B16" s="2">
        <v>45986</v>
      </c>
      <c r="C16" t="s">
        <v>30</v>
      </c>
      <c r="D16" t="s">
        <v>9</v>
      </c>
      <c r="E16" t="s">
        <v>31</v>
      </c>
      <c r="G16" t="s">
        <v>12</v>
      </c>
    </row>
    <row r="17" spans="1:7">
      <c r="A17" t="s">
        <v>57</v>
      </c>
      <c r="B17" s="2">
        <v>45783</v>
      </c>
      <c r="C17" t="s">
        <v>23</v>
      </c>
      <c r="D17" t="s">
        <v>9</v>
      </c>
      <c r="E17" t="s">
        <v>58</v>
      </c>
      <c r="F17" t="s">
        <v>59</v>
      </c>
      <c r="G17" t="s">
        <v>12</v>
      </c>
    </row>
    <row r="18" spans="1:7">
      <c r="A18" t="s">
        <v>60</v>
      </c>
      <c r="B18" s="2">
        <v>45933</v>
      </c>
      <c r="C18" t="s">
        <v>8</v>
      </c>
      <c r="D18" t="s">
        <v>9</v>
      </c>
      <c r="E18" t="s">
        <v>43</v>
      </c>
      <c r="F18" t="s">
        <v>61</v>
      </c>
      <c r="G18" t="s">
        <v>12</v>
      </c>
    </row>
    <row r="19" spans="1:7">
      <c r="A19" t="s">
        <v>62</v>
      </c>
      <c r="B19" s="2">
        <v>46125</v>
      </c>
      <c r="C19" t="s">
        <v>8</v>
      </c>
      <c r="D19" t="s">
        <v>9</v>
      </c>
      <c r="E19" t="s">
        <v>63</v>
      </c>
      <c r="F19" t="s">
        <v>64</v>
      </c>
      <c r="G19" t="s">
        <v>21</v>
      </c>
    </row>
    <row r="20" spans="1:7">
      <c r="A20" t="s">
        <v>65</v>
      </c>
      <c r="B20" s="2">
        <v>46095</v>
      </c>
      <c r="C20" t="s">
        <v>8</v>
      </c>
      <c r="D20" t="s">
        <v>9</v>
      </c>
      <c r="E20" t="s">
        <v>66</v>
      </c>
      <c r="F20" t="s">
        <v>67</v>
      </c>
      <c r="G20" t="s">
        <v>12</v>
      </c>
    </row>
    <row r="21" spans="1:7">
      <c r="A21" t="s">
        <v>68</v>
      </c>
      <c r="B21" s="2">
        <v>45787</v>
      </c>
      <c r="C21" t="s">
        <v>35</v>
      </c>
      <c r="D21" t="s">
        <v>9</v>
      </c>
      <c r="E21" t="s">
        <v>54</v>
      </c>
      <c r="F21" t="s">
        <v>69</v>
      </c>
    </row>
    <row r="22" spans="1:7">
      <c r="A22" t="s">
        <v>70</v>
      </c>
      <c r="B22" s="2">
        <v>46012</v>
      </c>
      <c r="C22" t="s">
        <v>35</v>
      </c>
      <c r="D22" t="s">
        <v>18</v>
      </c>
      <c r="E22" t="s">
        <v>31</v>
      </c>
      <c r="F22" t="s">
        <v>61</v>
      </c>
      <c r="G22" t="s">
        <v>12</v>
      </c>
    </row>
    <row r="23" spans="1:7">
      <c r="A23" t="s">
        <v>71</v>
      </c>
      <c r="B23" s="2">
        <v>45927</v>
      </c>
      <c r="C23" t="s">
        <v>30</v>
      </c>
      <c r="D23" t="s">
        <v>18</v>
      </c>
      <c r="E23" t="s">
        <v>19</v>
      </c>
      <c r="F23" t="s">
        <v>72</v>
      </c>
      <c r="G23" t="s">
        <v>21</v>
      </c>
    </row>
    <row r="24" spans="1:7">
      <c r="A24" t="s">
        <v>73</v>
      </c>
      <c r="B24" s="2">
        <v>45924</v>
      </c>
      <c r="C24" t="s">
        <v>35</v>
      </c>
      <c r="D24" t="s">
        <v>18</v>
      </c>
      <c r="E24" t="s">
        <v>74</v>
      </c>
      <c r="F24" t="s">
        <v>75</v>
      </c>
      <c r="G24" t="s">
        <v>12</v>
      </c>
    </row>
    <row r="25" spans="1:7">
      <c r="A25" t="s">
        <v>76</v>
      </c>
      <c r="B25" s="2"/>
      <c r="C25" t="s">
        <v>35</v>
      </c>
      <c r="D25" t="s">
        <v>9</v>
      </c>
      <c r="E25" t="s">
        <v>77</v>
      </c>
      <c r="F25" t="s">
        <v>72</v>
      </c>
      <c r="G25" t="s">
        <v>21</v>
      </c>
    </row>
    <row r="26" spans="1:7">
      <c r="A26" t="s">
        <v>78</v>
      </c>
      <c r="B26" s="2">
        <v>46136</v>
      </c>
      <c r="C26" t="s">
        <v>35</v>
      </c>
      <c r="D26" t="s">
        <v>9</v>
      </c>
      <c r="E26" t="s">
        <v>40</v>
      </c>
      <c r="F26" t="s">
        <v>40</v>
      </c>
      <c r="G26" t="s">
        <v>41</v>
      </c>
    </row>
    <row r="27" spans="1:7">
      <c r="A27" t="s">
        <v>79</v>
      </c>
      <c r="B27" s="2">
        <v>45697</v>
      </c>
      <c r="C27" t="s">
        <v>35</v>
      </c>
      <c r="D27" t="s">
        <v>9</v>
      </c>
      <c r="E27" t="s">
        <v>54</v>
      </c>
      <c r="F27" t="s">
        <v>32</v>
      </c>
      <c r="G27" t="s">
        <v>12</v>
      </c>
    </row>
    <row r="28" spans="1:7">
      <c r="A28" t="s">
        <v>51</v>
      </c>
      <c r="B28" s="2">
        <v>46014</v>
      </c>
      <c r="C28" t="s">
        <v>14</v>
      </c>
      <c r="D28" t="s">
        <v>18</v>
      </c>
      <c r="F28" t="s">
        <v>20</v>
      </c>
      <c r="G28" t="s">
        <v>12</v>
      </c>
    </row>
    <row r="29" spans="1:7">
      <c r="A29" t="s">
        <v>13</v>
      </c>
      <c r="B29" s="2">
        <v>46228</v>
      </c>
      <c r="C29" t="s">
        <v>14</v>
      </c>
      <c r="D29" t="s">
        <v>9</v>
      </c>
      <c r="E29" t="s">
        <v>50</v>
      </c>
      <c r="G29" t="s">
        <v>12</v>
      </c>
    </row>
    <row r="30" spans="1:7">
      <c r="A30" t="s">
        <v>80</v>
      </c>
      <c r="B30" s="2">
        <v>45955</v>
      </c>
      <c r="C30" t="s">
        <v>8</v>
      </c>
      <c r="D30" t="s">
        <v>18</v>
      </c>
      <c r="E30" t="s">
        <v>54</v>
      </c>
      <c r="F30" t="s">
        <v>69</v>
      </c>
      <c r="G30" t="s">
        <v>12</v>
      </c>
    </row>
    <row r="31" spans="1:7">
      <c r="A31" t="s">
        <v>81</v>
      </c>
      <c r="B31" s="2">
        <v>46130</v>
      </c>
      <c r="C31" t="s">
        <v>26</v>
      </c>
      <c r="D31" t="s">
        <v>9</v>
      </c>
      <c r="E31" t="s">
        <v>82</v>
      </c>
      <c r="F31" t="s">
        <v>16</v>
      </c>
      <c r="G31" t="s">
        <v>33</v>
      </c>
    </row>
    <row r="32" spans="1:7">
      <c r="A32" t="s">
        <v>83</v>
      </c>
      <c r="B32" s="2">
        <v>46111</v>
      </c>
      <c r="C32" t="s">
        <v>30</v>
      </c>
      <c r="E32" t="s">
        <v>66</v>
      </c>
      <c r="F32" t="s">
        <v>20</v>
      </c>
      <c r="G32" t="s">
        <v>12</v>
      </c>
    </row>
    <row r="33" spans="1:7">
      <c r="A33" t="s">
        <v>84</v>
      </c>
      <c r="B33" s="2"/>
      <c r="C33" t="s">
        <v>30</v>
      </c>
      <c r="D33" t="s">
        <v>9</v>
      </c>
      <c r="E33" t="s">
        <v>31</v>
      </c>
      <c r="F33" t="s">
        <v>67</v>
      </c>
      <c r="G33" t="s">
        <v>12</v>
      </c>
    </row>
    <row r="34" spans="1:7">
      <c r="A34" t="s">
        <v>85</v>
      </c>
      <c r="B34" s="2">
        <v>46167</v>
      </c>
      <c r="C34" t="s">
        <v>26</v>
      </c>
      <c r="D34" t="s">
        <v>9</v>
      </c>
      <c r="E34" t="s">
        <v>54</v>
      </c>
      <c r="F34" t="s">
        <v>86</v>
      </c>
      <c r="G34" t="s">
        <v>12</v>
      </c>
    </row>
    <row r="35" spans="1:7">
      <c r="A35" t="s">
        <v>87</v>
      </c>
      <c r="B35" s="2">
        <v>45939</v>
      </c>
      <c r="C35" t="s">
        <v>14</v>
      </c>
      <c r="D35" t="s">
        <v>9</v>
      </c>
      <c r="E35" t="s">
        <v>10</v>
      </c>
      <c r="F35" t="s">
        <v>88</v>
      </c>
      <c r="G35" t="s">
        <v>12</v>
      </c>
    </row>
    <row r="36" spans="1:7">
      <c r="A36" t="s">
        <v>89</v>
      </c>
      <c r="B36" s="2">
        <v>45869</v>
      </c>
      <c r="C36" t="s">
        <v>30</v>
      </c>
      <c r="D36" t="s">
        <v>9</v>
      </c>
      <c r="E36" t="s">
        <v>90</v>
      </c>
      <c r="F36" t="s">
        <v>91</v>
      </c>
      <c r="G36" t="s">
        <v>21</v>
      </c>
    </row>
    <row r="37" spans="1:7">
      <c r="A37" t="s">
        <v>92</v>
      </c>
      <c r="B37" s="2">
        <v>46026</v>
      </c>
      <c r="C37" t="s">
        <v>8</v>
      </c>
      <c r="D37" t="s">
        <v>18</v>
      </c>
      <c r="E37" t="s">
        <v>58</v>
      </c>
      <c r="F37" t="s">
        <v>44</v>
      </c>
      <c r="G37" t="s">
        <v>12</v>
      </c>
    </row>
    <row r="38" spans="1:7">
      <c r="A38" t="s">
        <v>93</v>
      </c>
      <c r="B38" s="2">
        <v>45918</v>
      </c>
      <c r="C38" t="s">
        <v>8</v>
      </c>
      <c r="D38" t="s">
        <v>18</v>
      </c>
      <c r="E38" t="s">
        <v>31</v>
      </c>
      <c r="F38" t="s">
        <v>94</v>
      </c>
      <c r="G38" t="s">
        <v>33</v>
      </c>
    </row>
    <row r="39" spans="1:7">
      <c r="A39" t="s">
        <v>95</v>
      </c>
      <c r="B39" s="2">
        <v>45876</v>
      </c>
      <c r="C39" t="s">
        <v>96</v>
      </c>
      <c r="D39" t="s">
        <v>9</v>
      </c>
      <c r="E39" t="s">
        <v>97</v>
      </c>
      <c r="F39" t="s">
        <v>98</v>
      </c>
    </row>
    <row r="40" spans="1:7">
      <c r="A40" t="s">
        <v>17</v>
      </c>
      <c r="B40" s="2">
        <v>45762</v>
      </c>
      <c r="C40" t="s">
        <v>8</v>
      </c>
      <c r="D40" t="s">
        <v>9</v>
      </c>
      <c r="E40" t="s">
        <v>99</v>
      </c>
      <c r="F40" t="s">
        <v>100</v>
      </c>
      <c r="G40" t="s">
        <v>12</v>
      </c>
    </row>
    <row r="41" spans="1:7">
      <c r="A41" t="s">
        <v>85</v>
      </c>
      <c r="B41" s="2">
        <v>46184</v>
      </c>
      <c r="C41" t="s">
        <v>35</v>
      </c>
      <c r="D41" t="s">
        <v>96</v>
      </c>
      <c r="E41" t="s">
        <v>101</v>
      </c>
      <c r="F41" t="s">
        <v>102</v>
      </c>
      <c r="G41" t="s">
        <v>12</v>
      </c>
    </row>
    <row r="42" spans="1:7">
      <c r="A42" t="s">
        <v>103</v>
      </c>
      <c r="B42" s="2">
        <v>45900</v>
      </c>
      <c r="C42" t="s">
        <v>30</v>
      </c>
      <c r="D42" t="s">
        <v>9</v>
      </c>
      <c r="E42" t="s">
        <v>43</v>
      </c>
      <c r="F42" t="s">
        <v>104</v>
      </c>
      <c r="G42" t="s">
        <v>12</v>
      </c>
    </row>
    <row r="43" spans="1:7">
      <c r="A43" t="s">
        <v>105</v>
      </c>
      <c r="B43" s="2">
        <v>46122</v>
      </c>
      <c r="C43" t="s">
        <v>30</v>
      </c>
      <c r="D43" t="s">
        <v>9</v>
      </c>
      <c r="E43" t="s">
        <v>66</v>
      </c>
      <c r="F43" t="s">
        <v>28</v>
      </c>
      <c r="G43" t="s">
        <v>12</v>
      </c>
    </row>
    <row r="44" spans="1:7">
      <c r="A44" t="s">
        <v>106</v>
      </c>
      <c r="B44" s="2">
        <v>45898</v>
      </c>
      <c r="C44" t="s">
        <v>26</v>
      </c>
      <c r="E44" t="s">
        <v>82</v>
      </c>
      <c r="F44" t="s">
        <v>107</v>
      </c>
      <c r="G44" t="s">
        <v>12</v>
      </c>
    </row>
    <row r="45" spans="1:7">
      <c r="A45" t="s">
        <v>51</v>
      </c>
      <c r="B45" s="2">
        <v>45706</v>
      </c>
      <c r="C45" t="s">
        <v>30</v>
      </c>
      <c r="D45" t="s">
        <v>9</v>
      </c>
      <c r="E45" t="s">
        <v>97</v>
      </c>
      <c r="F45" t="s">
        <v>108</v>
      </c>
      <c r="G45" t="s">
        <v>33</v>
      </c>
    </row>
    <row r="46" spans="1:7">
      <c r="A46" t="s">
        <v>109</v>
      </c>
      <c r="B46" s="2">
        <v>45751</v>
      </c>
      <c r="C46" t="s">
        <v>35</v>
      </c>
      <c r="D46" t="s">
        <v>9</v>
      </c>
      <c r="E46" t="s">
        <v>40</v>
      </c>
      <c r="F46" t="s">
        <v>40</v>
      </c>
      <c r="G46" t="s">
        <v>41</v>
      </c>
    </row>
    <row r="47" spans="1:7">
      <c r="A47" t="s">
        <v>110</v>
      </c>
      <c r="B47" s="2">
        <v>45748</v>
      </c>
      <c r="C47" t="s">
        <v>35</v>
      </c>
      <c r="D47" t="s">
        <v>9</v>
      </c>
      <c r="E47" t="s">
        <v>111</v>
      </c>
      <c r="G47" t="s">
        <v>12</v>
      </c>
    </row>
    <row r="48" spans="1:7">
      <c r="A48" t="s">
        <v>112</v>
      </c>
      <c r="B48" s="2">
        <v>46185</v>
      </c>
      <c r="C48" t="s">
        <v>35</v>
      </c>
      <c r="D48" t="s">
        <v>18</v>
      </c>
      <c r="F48" t="s">
        <v>55</v>
      </c>
      <c r="G48" t="s">
        <v>12</v>
      </c>
    </row>
    <row r="49" spans="1:7">
      <c r="A49" t="s">
        <v>78</v>
      </c>
      <c r="B49" s="2">
        <v>45874</v>
      </c>
      <c r="C49" t="s">
        <v>30</v>
      </c>
      <c r="D49" t="s">
        <v>18</v>
      </c>
      <c r="E49" t="s">
        <v>40</v>
      </c>
      <c r="F49" t="s">
        <v>40</v>
      </c>
      <c r="G49" t="s">
        <v>41</v>
      </c>
    </row>
    <row r="50" spans="1:7">
      <c r="A50" t="s">
        <v>113</v>
      </c>
      <c r="B50" s="2">
        <v>45870</v>
      </c>
      <c r="C50" t="s">
        <v>23</v>
      </c>
      <c r="D50" t="s">
        <v>9</v>
      </c>
      <c r="E50" t="s">
        <v>99</v>
      </c>
      <c r="G50" t="s">
        <v>12</v>
      </c>
    </row>
    <row r="51" spans="1:7">
      <c r="A51" t="s">
        <v>114</v>
      </c>
      <c r="B51" s="2">
        <v>46009</v>
      </c>
      <c r="C51" t="s">
        <v>23</v>
      </c>
      <c r="D51" t="s">
        <v>9</v>
      </c>
      <c r="E51" t="s">
        <v>50</v>
      </c>
      <c r="F51" t="s">
        <v>115</v>
      </c>
      <c r="G51" t="s">
        <v>12</v>
      </c>
    </row>
    <row r="52" spans="1:7">
      <c r="A52" t="s">
        <v>76</v>
      </c>
      <c r="B52" s="2">
        <v>45804</v>
      </c>
      <c r="C52" t="s">
        <v>8</v>
      </c>
      <c r="D52" t="s">
        <v>9</v>
      </c>
      <c r="E52" t="s">
        <v>97</v>
      </c>
      <c r="F52" t="s">
        <v>116</v>
      </c>
      <c r="G52" t="s">
        <v>12</v>
      </c>
    </row>
    <row r="53" spans="1:7">
      <c r="B53" s="2">
        <v>46101</v>
      </c>
      <c r="C53" t="s">
        <v>23</v>
      </c>
      <c r="D53" t="s">
        <v>9</v>
      </c>
      <c r="E53" t="s">
        <v>52</v>
      </c>
      <c r="F53" t="s">
        <v>44</v>
      </c>
      <c r="G53" t="s">
        <v>12</v>
      </c>
    </row>
    <row r="54" spans="1:7">
      <c r="B54" s="2">
        <v>45834</v>
      </c>
      <c r="C54" t="s">
        <v>30</v>
      </c>
      <c r="D54" t="s">
        <v>9</v>
      </c>
      <c r="E54" t="s">
        <v>54</v>
      </c>
      <c r="F54" t="s">
        <v>117</v>
      </c>
      <c r="G54" t="s">
        <v>12</v>
      </c>
    </row>
    <row r="55" spans="1:7">
      <c r="A55" t="s">
        <v>118</v>
      </c>
      <c r="B55" s="2">
        <v>46206</v>
      </c>
      <c r="C55" t="s">
        <v>26</v>
      </c>
      <c r="D55" t="s">
        <v>9</v>
      </c>
      <c r="E55" t="s">
        <v>50</v>
      </c>
      <c r="F55" t="s">
        <v>59</v>
      </c>
      <c r="G55" t="s">
        <v>12</v>
      </c>
    </row>
    <row r="56" spans="1:7">
      <c r="A56" t="s">
        <v>119</v>
      </c>
      <c r="B56" s="2">
        <v>46229</v>
      </c>
      <c r="C56" t="s">
        <v>35</v>
      </c>
      <c r="D56" t="s">
        <v>18</v>
      </c>
      <c r="E56" t="s">
        <v>37</v>
      </c>
      <c r="F56" t="s">
        <v>86</v>
      </c>
      <c r="G56" t="s">
        <v>21</v>
      </c>
    </row>
    <row r="57" spans="1:7">
      <c r="A57" t="s">
        <v>45</v>
      </c>
      <c r="B57" s="2">
        <v>46214</v>
      </c>
      <c r="C57" t="s">
        <v>26</v>
      </c>
      <c r="D57" t="s">
        <v>18</v>
      </c>
      <c r="E57" t="s">
        <v>47</v>
      </c>
      <c r="F57" t="s">
        <v>120</v>
      </c>
      <c r="G57" t="s">
        <v>12</v>
      </c>
    </row>
    <row r="58" spans="1:7">
      <c r="A58" t="s">
        <v>121</v>
      </c>
      <c r="B58" s="2"/>
      <c r="C58" t="s">
        <v>26</v>
      </c>
      <c r="D58" t="s">
        <v>9</v>
      </c>
      <c r="E58" t="s">
        <v>47</v>
      </c>
      <c r="F58" t="s">
        <v>32</v>
      </c>
      <c r="G58" t="s">
        <v>12</v>
      </c>
    </row>
    <row r="59" spans="1:7">
      <c r="A59" t="s">
        <v>89</v>
      </c>
      <c r="B59" s="2">
        <v>45673</v>
      </c>
      <c r="D59" t="s">
        <v>18</v>
      </c>
      <c r="E59" t="s">
        <v>54</v>
      </c>
      <c r="F59" t="s">
        <v>24</v>
      </c>
      <c r="G59" t="s">
        <v>12</v>
      </c>
    </row>
    <row r="60" spans="1:7">
      <c r="A60" t="s">
        <v>89</v>
      </c>
      <c r="B60" s="2">
        <v>46232</v>
      </c>
      <c r="C60" t="s">
        <v>14</v>
      </c>
      <c r="D60" t="s">
        <v>9</v>
      </c>
      <c r="E60" t="s">
        <v>50</v>
      </c>
      <c r="F60" t="s">
        <v>122</v>
      </c>
      <c r="G60" t="s">
        <v>12</v>
      </c>
    </row>
    <row r="61" spans="1:7">
      <c r="A61" t="s">
        <v>80</v>
      </c>
      <c r="B61" s="2"/>
      <c r="C61" t="s">
        <v>8</v>
      </c>
      <c r="D61" t="s">
        <v>18</v>
      </c>
      <c r="E61" t="s">
        <v>58</v>
      </c>
      <c r="F61" t="s">
        <v>120</v>
      </c>
      <c r="G61" t="s">
        <v>12</v>
      </c>
    </row>
    <row r="62" spans="1:7">
      <c r="A62" t="s">
        <v>103</v>
      </c>
      <c r="B62" s="2">
        <v>46026</v>
      </c>
      <c r="C62" t="s">
        <v>14</v>
      </c>
      <c r="E62" t="s">
        <v>31</v>
      </c>
      <c r="F62" t="s">
        <v>120</v>
      </c>
      <c r="G62" t="s">
        <v>12</v>
      </c>
    </row>
    <row r="63" spans="1:7">
      <c r="A63" t="s">
        <v>121</v>
      </c>
      <c r="B63" s="2">
        <v>46022</v>
      </c>
      <c r="D63" t="s">
        <v>18</v>
      </c>
      <c r="E63" t="s">
        <v>123</v>
      </c>
      <c r="F63" t="s">
        <v>115</v>
      </c>
      <c r="G63" t="s">
        <v>12</v>
      </c>
    </row>
    <row r="64" spans="1:7">
      <c r="A64" t="s">
        <v>79</v>
      </c>
      <c r="B64" s="2">
        <v>45722</v>
      </c>
      <c r="C64" t="s">
        <v>30</v>
      </c>
      <c r="D64" t="s">
        <v>9</v>
      </c>
      <c r="E64" t="s">
        <v>124</v>
      </c>
      <c r="F64" t="s">
        <v>59</v>
      </c>
      <c r="G64" t="s">
        <v>21</v>
      </c>
    </row>
    <row r="65" spans="1:7">
      <c r="A65" t="s">
        <v>46</v>
      </c>
      <c r="B65" s="2">
        <v>45953</v>
      </c>
      <c r="C65" t="s">
        <v>8</v>
      </c>
      <c r="E65" t="s">
        <v>43</v>
      </c>
      <c r="F65" t="s">
        <v>122</v>
      </c>
      <c r="G65" t="s">
        <v>33</v>
      </c>
    </row>
    <row r="66" spans="1:7">
      <c r="A66" t="s">
        <v>113</v>
      </c>
      <c r="B66" s="2">
        <v>46095</v>
      </c>
      <c r="C66" t="s">
        <v>23</v>
      </c>
      <c r="D66" t="s">
        <v>18</v>
      </c>
      <c r="E66" t="s">
        <v>125</v>
      </c>
      <c r="F66" t="s">
        <v>126</v>
      </c>
      <c r="G66" t="s">
        <v>21</v>
      </c>
    </row>
    <row r="67" spans="1:7">
      <c r="A67" t="s">
        <v>127</v>
      </c>
      <c r="B67" s="2">
        <v>45716</v>
      </c>
      <c r="C67" t="s">
        <v>30</v>
      </c>
      <c r="E67" t="s">
        <v>82</v>
      </c>
      <c r="F67" t="s">
        <v>128</v>
      </c>
      <c r="G67" t="s">
        <v>12</v>
      </c>
    </row>
    <row r="68" spans="1:7">
      <c r="A68" t="s">
        <v>49</v>
      </c>
      <c r="B68" s="2">
        <v>45780</v>
      </c>
      <c r="C68" t="s">
        <v>26</v>
      </c>
      <c r="D68" t="s">
        <v>9</v>
      </c>
      <c r="E68" t="s">
        <v>50</v>
      </c>
      <c r="F68" t="s">
        <v>44</v>
      </c>
      <c r="G68" t="s">
        <v>12</v>
      </c>
    </row>
    <row r="69" spans="1:7">
      <c r="A69" t="s">
        <v>129</v>
      </c>
      <c r="B69" s="2">
        <v>46070</v>
      </c>
      <c r="C69" t="s">
        <v>26</v>
      </c>
      <c r="D69" t="s">
        <v>9</v>
      </c>
      <c r="E69" t="s">
        <v>99</v>
      </c>
      <c r="F69" t="s">
        <v>11</v>
      </c>
    </row>
    <row r="70" spans="1:7">
      <c r="A70" t="s">
        <v>81</v>
      </c>
      <c r="B70" s="2">
        <v>46057</v>
      </c>
      <c r="C70" t="s">
        <v>23</v>
      </c>
      <c r="D70" t="s">
        <v>18</v>
      </c>
      <c r="F70" t="s">
        <v>44</v>
      </c>
      <c r="G70" t="s">
        <v>21</v>
      </c>
    </row>
    <row r="71" spans="1:7">
      <c r="A71" t="s">
        <v>130</v>
      </c>
      <c r="B71" s="2">
        <v>45826</v>
      </c>
      <c r="C71" t="s">
        <v>8</v>
      </c>
      <c r="D71" t="s">
        <v>9</v>
      </c>
      <c r="E71" t="s">
        <v>47</v>
      </c>
      <c r="G71" t="s">
        <v>12</v>
      </c>
    </row>
    <row r="72" spans="1:7">
      <c r="A72" t="s">
        <v>131</v>
      </c>
      <c r="B72" s="2">
        <v>45789</v>
      </c>
      <c r="D72" t="s">
        <v>9</v>
      </c>
      <c r="E72" t="s">
        <v>66</v>
      </c>
      <c r="F72" t="s">
        <v>32</v>
      </c>
      <c r="G72" t="s">
        <v>12</v>
      </c>
    </row>
    <row r="73" spans="1:7">
      <c r="A73" t="s">
        <v>132</v>
      </c>
      <c r="B73" s="2">
        <v>45677</v>
      </c>
      <c r="C73" t="s">
        <v>23</v>
      </c>
      <c r="D73" t="s">
        <v>18</v>
      </c>
      <c r="E73" t="s">
        <v>66</v>
      </c>
      <c r="F73" t="s">
        <v>133</v>
      </c>
      <c r="G73" t="s">
        <v>12</v>
      </c>
    </row>
    <row r="74" spans="1:7">
      <c r="A74" t="s">
        <v>134</v>
      </c>
      <c r="B74" s="2">
        <v>45995</v>
      </c>
      <c r="C74" t="s">
        <v>35</v>
      </c>
      <c r="D74" t="s">
        <v>9</v>
      </c>
      <c r="E74" t="s">
        <v>43</v>
      </c>
      <c r="G74" t="s">
        <v>12</v>
      </c>
    </row>
    <row r="75" spans="1:7">
      <c r="A75" t="s">
        <v>84</v>
      </c>
      <c r="B75" s="2">
        <v>46158</v>
      </c>
      <c r="C75" t="s">
        <v>23</v>
      </c>
      <c r="D75" t="s">
        <v>9</v>
      </c>
      <c r="E75" t="s">
        <v>135</v>
      </c>
      <c r="F75" t="s">
        <v>136</v>
      </c>
      <c r="G75" t="s">
        <v>12</v>
      </c>
    </row>
    <row r="76" spans="1:7">
      <c r="A76" t="s">
        <v>29</v>
      </c>
      <c r="B76" s="2">
        <v>46097</v>
      </c>
      <c r="D76" t="s">
        <v>137</v>
      </c>
      <c r="E76" t="s">
        <v>138</v>
      </c>
      <c r="F76" t="s">
        <v>16</v>
      </c>
      <c r="G76" t="s">
        <v>21</v>
      </c>
    </row>
    <row r="77" spans="1:7">
      <c r="A77" t="s">
        <v>60</v>
      </c>
      <c r="B77" s="2" t="s">
        <v>139</v>
      </c>
      <c r="C77" t="s">
        <v>35</v>
      </c>
      <c r="D77" t="s">
        <v>9</v>
      </c>
      <c r="E77" t="s">
        <v>97</v>
      </c>
      <c r="F77" t="s">
        <v>140</v>
      </c>
      <c r="G77" t="s">
        <v>12</v>
      </c>
    </row>
    <row r="78" spans="1:7">
      <c r="A78" t="s">
        <v>141</v>
      </c>
      <c r="B78" s="2">
        <v>46169</v>
      </c>
      <c r="C78" t="s">
        <v>35</v>
      </c>
      <c r="D78" t="s">
        <v>9</v>
      </c>
      <c r="E78" t="s">
        <v>101</v>
      </c>
      <c r="F78" t="s">
        <v>142</v>
      </c>
      <c r="G78" t="s">
        <v>12</v>
      </c>
    </row>
    <row r="79" spans="1:7">
      <c r="A79" t="s">
        <v>62</v>
      </c>
      <c r="B79" s="2">
        <v>46155</v>
      </c>
      <c r="C79" t="s">
        <v>26</v>
      </c>
      <c r="D79" t="s">
        <v>9</v>
      </c>
      <c r="E79" t="s">
        <v>43</v>
      </c>
      <c r="F79" t="s">
        <v>143</v>
      </c>
      <c r="G79" t="s">
        <v>12</v>
      </c>
    </row>
    <row r="80" spans="1:7">
      <c r="A80" t="s">
        <v>62</v>
      </c>
      <c r="B80" s="2">
        <v>45760</v>
      </c>
      <c r="D80" t="s">
        <v>9</v>
      </c>
      <c r="E80" t="s">
        <v>50</v>
      </c>
      <c r="F80" t="s">
        <v>72</v>
      </c>
      <c r="G80" t="s">
        <v>33</v>
      </c>
    </row>
    <row r="81" spans="1:7">
      <c r="A81" t="s">
        <v>13</v>
      </c>
      <c r="B81" s="2">
        <v>45771</v>
      </c>
      <c r="C81" t="s">
        <v>30</v>
      </c>
      <c r="D81" t="s">
        <v>9</v>
      </c>
      <c r="F81" t="s">
        <v>128</v>
      </c>
      <c r="G81" t="s">
        <v>21</v>
      </c>
    </row>
    <row r="82" spans="1:7">
      <c r="B82" s="2">
        <v>45733</v>
      </c>
      <c r="C82" t="s">
        <v>26</v>
      </c>
      <c r="D82" t="s">
        <v>9</v>
      </c>
      <c r="E82" t="s">
        <v>144</v>
      </c>
      <c r="F82" t="s">
        <v>145</v>
      </c>
      <c r="G82" t="s">
        <v>12</v>
      </c>
    </row>
    <row r="83" spans="1:7">
      <c r="A83" t="s">
        <v>57</v>
      </c>
      <c r="B83" s="2">
        <v>46181</v>
      </c>
      <c r="C83" t="s">
        <v>14</v>
      </c>
      <c r="D83" t="s">
        <v>9</v>
      </c>
      <c r="E83" t="s">
        <v>50</v>
      </c>
      <c r="F83" t="s">
        <v>59</v>
      </c>
      <c r="G83" t="s">
        <v>12</v>
      </c>
    </row>
    <row r="84" spans="1:7">
      <c r="A84" t="s">
        <v>42</v>
      </c>
      <c r="B84" s="2">
        <v>45733</v>
      </c>
      <c r="D84" t="s">
        <v>9</v>
      </c>
      <c r="E84" t="s">
        <v>50</v>
      </c>
      <c r="F84" t="s">
        <v>94</v>
      </c>
      <c r="G84" t="s">
        <v>12</v>
      </c>
    </row>
    <row r="85" spans="1:7">
      <c r="A85" t="s">
        <v>106</v>
      </c>
      <c r="B85" s="2">
        <v>45944</v>
      </c>
      <c r="C85" t="s">
        <v>26</v>
      </c>
      <c r="D85" t="s">
        <v>9</v>
      </c>
      <c r="E85" t="s">
        <v>47</v>
      </c>
      <c r="F85" t="s">
        <v>146</v>
      </c>
      <c r="G85" t="s">
        <v>12</v>
      </c>
    </row>
    <row r="86" spans="1:7">
      <c r="A86" t="s">
        <v>13</v>
      </c>
      <c r="B86" s="2">
        <v>46071</v>
      </c>
      <c r="C86" t="s">
        <v>26</v>
      </c>
      <c r="D86" t="s">
        <v>9</v>
      </c>
      <c r="E86" t="s">
        <v>58</v>
      </c>
      <c r="F86" t="s">
        <v>20</v>
      </c>
      <c r="G86" t="s">
        <v>12</v>
      </c>
    </row>
    <row r="87" spans="1:7">
      <c r="A87" t="s">
        <v>80</v>
      </c>
      <c r="B87" s="2">
        <v>45868</v>
      </c>
      <c r="C87" t="s">
        <v>26</v>
      </c>
      <c r="D87" t="s">
        <v>18</v>
      </c>
      <c r="E87" t="s">
        <v>52</v>
      </c>
      <c r="F87" t="s">
        <v>24</v>
      </c>
      <c r="G87" t="s">
        <v>33</v>
      </c>
    </row>
    <row r="88" spans="1:7">
      <c r="A88" t="s">
        <v>53</v>
      </c>
      <c r="B88" s="2">
        <v>46199</v>
      </c>
      <c r="C88" t="s">
        <v>23</v>
      </c>
      <c r="D88" t="s">
        <v>9</v>
      </c>
      <c r="E88" t="s">
        <v>135</v>
      </c>
      <c r="F88" t="s">
        <v>91</v>
      </c>
      <c r="G88" t="s">
        <v>12</v>
      </c>
    </row>
    <row r="89" spans="1:7">
      <c r="A89" t="s">
        <v>147</v>
      </c>
      <c r="B89" s="2">
        <v>45883</v>
      </c>
      <c r="C89" t="s">
        <v>26</v>
      </c>
      <c r="D89" t="s">
        <v>9</v>
      </c>
      <c r="E89" t="s">
        <v>135</v>
      </c>
      <c r="F89" t="s">
        <v>148</v>
      </c>
      <c r="G89" t="s">
        <v>12</v>
      </c>
    </row>
    <row r="90" spans="1:7">
      <c r="A90" t="s">
        <v>149</v>
      </c>
      <c r="B90" s="2">
        <v>45776</v>
      </c>
      <c r="C90" t="s">
        <v>26</v>
      </c>
      <c r="D90" t="s">
        <v>18</v>
      </c>
      <c r="E90" t="s">
        <v>31</v>
      </c>
      <c r="F90" t="s">
        <v>32</v>
      </c>
      <c r="G90" t="s">
        <v>12</v>
      </c>
    </row>
    <row r="91" spans="1:7">
      <c r="A91" t="s">
        <v>106</v>
      </c>
      <c r="B91" s="2">
        <v>46162</v>
      </c>
      <c r="D91" t="s">
        <v>9</v>
      </c>
      <c r="E91" t="s">
        <v>40</v>
      </c>
      <c r="F91" t="s">
        <v>40</v>
      </c>
      <c r="G91" t="s">
        <v>41</v>
      </c>
    </row>
    <row r="92" spans="1:7">
      <c r="A92" t="s">
        <v>76</v>
      </c>
      <c r="B92" s="2">
        <v>46059</v>
      </c>
      <c r="C92" t="s">
        <v>8</v>
      </c>
      <c r="D92" t="s">
        <v>18</v>
      </c>
      <c r="E92" t="s">
        <v>31</v>
      </c>
      <c r="F92" t="s">
        <v>150</v>
      </c>
      <c r="G92" t="s">
        <v>12</v>
      </c>
    </row>
    <row r="93" spans="1:7">
      <c r="A93" t="s">
        <v>151</v>
      </c>
      <c r="B93" s="2">
        <v>45878</v>
      </c>
      <c r="C93" t="s">
        <v>26</v>
      </c>
      <c r="D93" t="s">
        <v>152</v>
      </c>
      <c r="E93" t="s">
        <v>82</v>
      </c>
      <c r="F93" t="s">
        <v>153</v>
      </c>
      <c r="G93" t="s">
        <v>12</v>
      </c>
    </row>
    <row r="94" spans="1:7">
      <c r="A94" t="s">
        <v>53</v>
      </c>
      <c r="B94" s="2">
        <v>45748</v>
      </c>
      <c r="C94" t="s">
        <v>26</v>
      </c>
      <c r="D94" t="s">
        <v>9</v>
      </c>
      <c r="E94" t="s">
        <v>10</v>
      </c>
      <c r="G94" t="s">
        <v>12</v>
      </c>
    </row>
    <row r="95" spans="1:7">
      <c r="A95" t="s">
        <v>87</v>
      </c>
      <c r="B95" s="2">
        <v>45660</v>
      </c>
      <c r="C95" t="s">
        <v>35</v>
      </c>
      <c r="D95" t="s">
        <v>154</v>
      </c>
      <c r="E95" t="s">
        <v>40</v>
      </c>
      <c r="F95" t="s">
        <v>40</v>
      </c>
      <c r="G95" t="s">
        <v>154</v>
      </c>
    </row>
    <row r="96" spans="1:7">
      <c r="A96" t="s">
        <v>121</v>
      </c>
      <c r="B96" s="2">
        <v>46066</v>
      </c>
      <c r="C96" t="s">
        <v>14</v>
      </c>
      <c r="D96" t="s">
        <v>9</v>
      </c>
      <c r="E96" t="s">
        <v>99</v>
      </c>
      <c r="F96" t="s">
        <v>98</v>
      </c>
      <c r="G96" t="s">
        <v>12</v>
      </c>
    </row>
    <row r="97" spans="1:7">
      <c r="A97" t="s">
        <v>49</v>
      </c>
      <c r="B97" s="2">
        <v>45858</v>
      </c>
      <c r="C97" t="s">
        <v>23</v>
      </c>
      <c r="D97" t="s">
        <v>9</v>
      </c>
      <c r="E97" t="s">
        <v>123</v>
      </c>
      <c r="F97" t="s">
        <v>155</v>
      </c>
      <c r="G97" t="s">
        <v>12</v>
      </c>
    </row>
    <row r="98" spans="1:7">
      <c r="A98" t="s">
        <v>156</v>
      </c>
      <c r="B98" s="2">
        <v>46049</v>
      </c>
      <c r="C98" t="s">
        <v>23</v>
      </c>
      <c r="D98" t="s">
        <v>18</v>
      </c>
      <c r="E98" t="s">
        <v>157</v>
      </c>
      <c r="F98" t="s">
        <v>72</v>
      </c>
      <c r="G98" t="s">
        <v>21</v>
      </c>
    </row>
    <row r="99" spans="1:7">
      <c r="A99" t="s">
        <v>141</v>
      </c>
      <c r="B99" s="2">
        <v>46221</v>
      </c>
      <c r="C99" t="s">
        <v>14</v>
      </c>
      <c r="D99" t="s">
        <v>9</v>
      </c>
      <c r="E99" t="s">
        <v>123</v>
      </c>
      <c r="F99" t="s">
        <v>48</v>
      </c>
      <c r="G99" t="s">
        <v>12</v>
      </c>
    </row>
    <row r="100" spans="1:7">
      <c r="A100" t="s">
        <v>7</v>
      </c>
      <c r="B100" s="2">
        <v>46172</v>
      </c>
      <c r="C100" t="s">
        <v>23</v>
      </c>
      <c r="D100" t="s">
        <v>18</v>
      </c>
      <c r="E100" t="s">
        <v>47</v>
      </c>
      <c r="F100" t="s">
        <v>133</v>
      </c>
      <c r="G100" t="s">
        <v>12</v>
      </c>
    </row>
    <row r="101" spans="1:7">
      <c r="A101" t="s">
        <v>78</v>
      </c>
      <c r="B101" s="2">
        <v>46110</v>
      </c>
      <c r="C101" t="s">
        <v>23</v>
      </c>
      <c r="D101" t="s">
        <v>9</v>
      </c>
      <c r="E101" t="s">
        <v>40</v>
      </c>
      <c r="F101" t="s">
        <v>150</v>
      </c>
      <c r="G101" t="s">
        <v>12</v>
      </c>
    </row>
    <row r="102" spans="1:7">
      <c r="A102" t="s">
        <v>118</v>
      </c>
      <c r="B102" s="2">
        <v>45847</v>
      </c>
      <c r="C102" t="s">
        <v>8</v>
      </c>
      <c r="D102" t="s">
        <v>18</v>
      </c>
      <c r="E102" t="s">
        <v>123</v>
      </c>
      <c r="F102" t="s">
        <v>143</v>
      </c>
      <c r="G102" t="s">
        <v>33</v>
      </c>
    </row>
    <row r="103" spans="1:7">
      <c r="A103" t="s">
        <v>71</v>
      </c>
      <c r="B103" s="2">
        <v>46152</v>
      </c>
      <c r="C103" t="s">
        <v>35</v>
      </c>
      <c r="D103" t="s">
        <v>9</v>
      </c>
      <c r="E103" t="s">
        <v>50</v>
      </c>
      <c r="F103" t="s">
        <v>117</v>
      </c>
      <c r="G103" t="s">
        <v>12</v>
      </c>
    </row>
    <row r="104" spans="1:7">
      <c r="A104" t="s">
        <v>121</v>
      </c>
      <c r="B104" s="2">
        <v>45852</v>
      </c>
      <c r="C104" t="s">
        <v>8</v>
      </c>
      <c r="D104" t="s">
        <v>9</v>
      </c>
      <c r="E104" t="s">
        <v>158</v>
      </c>
      <c r="F104" t="s">
        <v>59</v>
      </c>
      <c r="G104" t="s">
        <v>21</v>
      </c>
    </row>
    <row r="105" spans="1:7">
      <c r="A105" t="s">
        <v>114</v>
      </c>
      <c r="B105" s="2">
        <v>46227</v>
      </c>
      <c r="C105" t="s">
        <v>30</v>
      </c>
      <c r="D105" t="s">
        <v>18</v>
      </c>
      <c r="E105" t="s">
        <v>159</v>
      </c>
      <c r="F105" t="s">
        <v>75</v>
      </c>
      <c r="G105" t="s">
        <v>21</v>
      </c>
    </row>
    <row r="106" spans="1:7">
      <c r="A106" t="s">
        <v>57</v>
      </c>
      <c r="B106" s="2">
        <v>46068</v>
      </c>
      <c r="C106" t="s">
        <v>23</v>
      </c>
      <c r="D106" t="s">
        <v>18</v>
      </c>
      <c r="E106" t="s">
        <v>97</v>
      </c>
      <c r="F106" t="s">
        <v>88</v>
      </c>
      <c r="G106" t="s">
        <v>12</v>
      </c>
    </row>
    <row r="107" spans="1:7">
      <c r="A107" t="s">
        <v>160</v>
      </c>
      <c r="B107" s="2">
        <v>46154</v>
      </c>
      <c r="C107" t="s">
        <v>23</v>
      </c>
      <c r="D107" t="s">
        <v>18</v>
      </c>
      <c r="F107" t="s">
        <v>61</v>
      </c>
      <c r="G107" t="s">
        <v>21</v>
      </c>
    </row>
    <row r="108" spans="1:7">
      <c r="A108" t="s">
        <v>73</v>
      </c>
      <c r="B108" s="2">
        <v>46061</v>
      </c>
      <c r="C108" t="s">
        <v>30</v>
      </c>
      <c r="E108" t="s">
        <v>52</v>
      </c>
      <c r="F108" t="s">
        <v>28</v>
      </c>
      <c r="G108" t="s">
        <v>12</v>
      </c>
    </row>
    <row r="109" spans="1:7">
      <c r="A109" t="s">
        <v>39</v>
      </c>
      <c r="B109" s="2">
        <v>45699</v>
      </c>
      <c r="C109" t="s">
        <v>26</v>
      </c>
      <c r="D109" t="s">
        <v>9</v>
      </c>
      <c r="E109" t="s">
        <v>47</v>
      </c>
      <c r="F109" t="s">
        <v>161</v>
      </c>
      <c r="G109" t="s">
        <v>12</v>
      </c>
    </row>
    <row r="110" spans="1:7">
      <c r="A110" t="s">
        <v>156</v>
      </c>
      <c r="B110" s="2">
        <v>46114</v>
      </c>
      <c r="C110" t="s">
        <v>26</v>
      </c>
      <c r="D110" t="s">
        <v>18</v>
      </c>
      <c r="E110" t="s">
        <v>40</v>
      </c>
      <c r="F110" t="s">
        <v>40</v>
      </c>
      <c r="G110" t="s">
        <v>41</v>
      </c>
    </row>
    <row r="111" spans="1:7">
      <c r="A111" t="s">
        <v>162</v>
      </c>
      <c r="B111" s="2">
        <v>45951</v>
      </c>
      <c r="C111" t="s">
        <v>8</v>
      </c>
      <c r="D111" t="s">
        <v>9</v>
      </c>
      <c r="E111" t="s">
        <v>40</v>
      </c>
      <c r="F111" t="s">
        <v>40</v>
      </c>
      <c r="G111" t="s">
        <v>41</v>
      </c>
    </row>
    <row r="112" spans="1:7">
      <c r="A112" t="s">
        <v>13</v>
      </c>
      <c r="B112" s="2">
        <v>46175</v>
      </c>
      <c r="C112" t="s">
        <v>23</v>
      </c>
      <c r="D112" t="s">
        <v>9</v>
      </c>
      <c r="E112" t="s">
        <v>163</v>
      </c>
      <c r="G112" t="s">
        <v>21</v>
      </c>
    </row>
    <row r="113" spans="1:7">
      <c r="A113" t="s">
        <v>162</v>
      </c>
      <c r="B113" s="2">
        <v>46006</v>
      </c>
      <c r="C113" t="s">
        <v>8</v>
      </c>
      <c r="D113" t="s">
        <v>9</v>
      </c>
      <c r="E113" t="s">
        <v>164</v>
      </c>
      <c r="F113" t="s">
        <v>165</v>
      </c>
      <c r="G113" t="s">
        <v>21</v>
      </c>
    </row>
    <row r="114" spans="1:7">
      <c r="A114" t="s">
        <v>112</v>
      </c>
      <c r="B114" s="2">
        <v>46051</v>
      </c>
      <c r="C114" t="s">
        <v>30</v>
      </c>
      <c r="D114" t="s">
        <v>9</v>
      </c>
      <c r="F114" t="s">
        <v>166</v>
      </c>
      <c r="G114" t="s">
        <v>12</v>
      </c>
    </row>
    <row r="115" spans="1:7">
      <c r="A115" t="s">
        <v>118</v>
      </c>
      <c r="B115" s="2"/>
      <c r="C115" t="s">
        <v>26</v>
      </c>
      <c r="D115" t="s">
        <v>9</v>
      </c>
      <c r="E115" t="s">
        <v>74</v>
      </c>
      <c r="F115" t="s">
        <v>128</v>
      </c>
      <c r="G115" t="s">
        <v>12</v>
      </c>
    </row>
    <row r="116" spans="1:7">
      <c r="A116" t="s">
        <v>112</v>
      </c>
      <c r="B116" s="2">
        <v>45670</v>
      </c>
      <c r="C116" t="s">
        <v>23</v>
      </c>
      <c r="D116" t="s">
        <v>9</v>
      </c>
      <c r="E116" t="s">
        <v>58</v>
      </c>
      <c r="F116" t="s">
        <v>117</v>
      </c>
      <c r="G116" t="s">
        <v>12</v>
      </c>
    </row>
    <row r="117" spans="1:7">
      <c r="A117" t="s">
        <v>106</v>
      </c>
      <c r="B117" s="2">
        <v>46035</v>
      </c>
      <c r="C117" t="s">
        <v>23</v>
      </c>
      <c r="D117" t="s">
        <v>9</v>
      </c>
      <c r="E117" t="s">
        <v>10</v>
      </c>
      <c r="F117" t="s">
        <v>98</v>
      </c>
      <c r="G117" t="s">
        <v>12</v>
      </c>
    </row>
    <row r="118" spans="1:7">
      <c r="A118" t="s">
        <v>167</v>
      </c>
      <c r="B118" s="2">
        <v>45812</v>
      </c>
      <c r="C118" t="s">
        <v>35</v>
      </c>
      <c r="D118" t="s">
        <v>9</v>
      </c>
      <c r="E118" t="s">
        <v>40</v>
      </c>
      <c r="F118" t="s">
        <v>40</v>
      </c>
      <c r="G118" t="s">
        <v>41</v>
      </c>
    </row>
    <row r="119" spans="1:7">
      <c r="A119" t="s">
        <v>168</v>
      </c>
      <c r="B119" s="2">
        <v>46007</v>
      </c>
      <c r="C119" t="s">
        <v>23</v>
      </c>
      <c r="D119" t="s">
        <v>152</v>
      </c>
      <c r="E119" t="s">
        <v>52</v>
      </c>
      <c r="F119" t="s">
        <v>24</v>
      </c>
      <c r="G119" t="s">
        <v>12</v>
      </c>
    </row>
    <row r="120" spans="1:7">
      <c r="A120" t="s">
        <v>151</v>
      </c>
      <c r="B120" s="2">
        <v>46015</v>
      </c>
      <c r="C120" t="s">
        <v>14</v>
      </c>
      <c r="E120" t="s">
        <v>169</v>
      </c>
      <c r="F120" t="s">
        <v>107</v>
      </c>
      <c r="G120" t="s">
        <v>12</v>
      </c>
    </row>
    <row r="121" spans="1:7">
      <c r="A121" t="s">
        <v>170</v>
      </c>
      <c r="B121" s="2"/>
      <c r="C121" t="s">
        <v>14</v>
      </c>
      <c r="D121" t="s">
        <v>9</v>
      </c>
      <c r="E121" t="s">
        <v>58</v>
      </c>
      <c r="F121" t="s">
        <v>69</v>
      </c>
      <c r="G121" t="s">
        <v>33</v>
      </c>
    </row>
    <row r="122" spans="1:7">
      <c r="A122" t="s">
        <v>62</v>
      </c>
      <c r="B122" s="2">
        <v>45863</v>
      </c>
      <c r="C122" t="s">
        <v>30</v>
      </c>
      <c r="D122" t="s">
        <v>9</v>
      </c>
      <c r="E122" t="s">
        <v>171</v>
      </c>
      <c r="F122" t="s">
        <v>153</v>
      </c>
    </row>
    <row r="123" spans="1:7">
      <c r="A123" t="s">
        <v>118</v>
      </c>
      <c r="B123" s="2">
        <v>46029</v>
      </c>
      <c r="C123" t="s">
        <v>26</v>
      </c>
      <c r="D123" t="s">
        <v>9</v>
      </c>
      <c r="E123" t="s">
        <v>10</v>
      </c>
      <c r="F123" t="s">
        <v>98</v>
      </c>
      <c r="G123" t="s">
        <v>12</v>
      </c>
    </row>
    <row r="124" spans="1:7">
      <c r="A124" t="s">
        <v>172</v>
      </c>
      <c r="B124" s="2">
        <v>45792</v>
      </c>
      <c r="C124" t="s">
        <v>26</v>
      </c>
      <c r="D124" t="s">
        <v>9</v>
      </c>
      <c r="E124" t="s">
        <v>97</v>
      </c>
      <c r="F124" t="s">
        <v>100</v>
      </c>
      <c r="G124" t="s">
        <v>12</v>
      </c>
    </row>
    <row r="125" spans="1:7">
      <c r="A125" t="s">
        <v>173</v>
      </c>
      <c r="B125" s="2">
        <v>46025</v>
      </c>
      <c r="D125" t="s">
        <v>18</v>
      </c>
      <c r="E125" t="s">
        <v>40</v>
      </c>
      <c r="F125" t="s">
        <v>40</v>
      </c>
      <c r="G125" t="s">
        <v>41</v>
      </c>
    </row>
    <row r="126" spans="1:7">
      <c r="A126" t="s">
        <v>156</v>
      </c>
      <c r="B126" s="2">
        <v>46213</v>
      </c>
      <c r="C126" t="s">
        <v>23</v>
      </c>
      <c r="D126" t="s">
        <v>9</v>
      </c>
      <c r="E126" t="s">
        <v>40</v>
      </c>
      <c r="F126" t="s">
        <v>40</v>
      </c>
      <c r="G126" t="s">
        <v>41</v>
      </c>
    </row>
    <row r="127" spans="1:7">
      <c r="A127" t="s">
        <v>95</v>
      </c>
      <c r="B127" s="2">
        <v>46227</v>
      </c>
      <c r="C127" t="s">
        <v>30</v>
      </c>
      <c r="D127" t="s">
        <v>9</v>
      </c>
      <c r="E127" t="s">
        <v>135</v>
      </c>
      <c r="F127" t="s">
        <v>88</v>
      </c>
      <c r="G127" t="s">
        <v>12</v>
      </c>
    </row>
    <row r="128" spans="1:7">
      <c r="A128" t="s">
        <v>51</v>
      </c>
      <c r="B128" s="2">
        <v>45721</v>
      </c>
      <c r="C128" t="s">
        <v>26</v>
      </c>
      <c r="D128" t="s">
        <v>18</v>
      </c>
      <c r="E128" t="s">
        <v>174</v>
      </c>
      <c r="F128" t="s">
        <v>100</v>
      </c>
      <c r="G128" t="s">
        <v>21</v>
      </c>
    </row>
    <row r="129" spans="1:7">
      <c r="A129" t="s">
        <v>147</v>
      </c>
      <c r="B129" s="2">
        <v>45831</v>
      </c>
      <c r="C129" t="s">
        <v>26</v>
      </c>
      <c r="E129" t="s">
        <v>175</v>
      </c>
      <c r="F129" t="s">
        <v>116</v>
      </c>
      <c r="G129" t="s">
        <v>21</v>
      </c>
    </row>
    <row r="130" spans="1:7">
      <c r="A130" t="s">
        <v>53</v>
      </c>
      <c r="B130" s="2">
        <v>45948</v>
      </c>
      <c r="C130" t="s">
        <v>14</v>
      </c>
      <c r="D130" t="s">
        <v>18</v>
      </c>
      <c r="E130" t="s">
        <v>74</v>
      </c>
      <c r="F130" t="s">
        <v>176</v>
      </c>
      <c r="G130" t="s">
        <v>33</v>
      </c>
    </row>
    <row r="131" spans="1:7">
      <c r="A131" t="s">
        <v>22</v>
      </c>
      <c r="B131" s="2">
        <v>45675</v>
      </c>
      <c r="C131" t="s">
        <v>30</v>
      </c>
      <c r="D131" t="s">
        <v>9</v>
      </c>
      <c r="E131" t="s">
        <v>40</v>
      </c>
      <c r="F131" t="s">
        <v>40</v>
      </c>
      <c r="G131" t="s">
        <v>41</v>
      </c>
    </row>
    <row r="132" spans="1:7">
      <c r="A132" t="s">
        <v>177</v>
      </c>
      <c r="B132" s="2">
        <v>46139</v>
      </c>
      <c r="C132" t="s">
        <v>23</v>
      </c>
      <c r="D132" t="s">
        <v>18</v>
      </c>
      <c r="E132" t="s">
        <v>101</v>
      </c>
      <c r="F132" t="s">
        <v>107</v>
      </c>
      <c r="G132" t="s">
        <v>33</v>
      </c>
    </row>
    <row r="133" spans="1:7">
      <c r="A133" t="s">
        <v>70</v>
      </c>
      <c r="B133" s="2">
        <v>46128</v>
      </c>
      <c r="C133" t="s">
        <v>23</v>
      </c>
      <c r="D133" t="s">
        <v>18</v>
      </c>
      <c r="E133" t="s">
        <v>43</v>
      </c>
      <c r="F133" t="s">
        <v>146</v>
      </c>
      <c r="G133" t="s">
        <v>12</v>
      </c>
    </row>
    <row r="134" spans="1:7">
      <c r="A134" t="s">
        <v>45</v>
      </c>
      <c r="B134" s="2">
        <v>46166</v>
      </c>
      <c r="C134" t="s">
        <v>30</v>
      </c>
      <c r="D134" t="s">
        <v>18</v>
      </c>
      <c r="E134" t="s">
        <v>99</v>
      </c>
      <c r="F134" t="s">
        <v>178</v>
      </c>
      <c r="G134" t="s">
        <v>12</v>
      </c>
    </row>
    <row r="135" spans="1:7">
      <c r="A135" t="s">
        <v>95</v>
      </c>
      <c r="B135" s="2">
        <v>45763</v>
      </c>
      <c r="C135" t="s">
        <v>23</v>
      </c>
      <c r="D135" t="s">
        <v>139</v>
      </c>
      <c r="E135" t="s">
        <v>179</v>
      </c>
      <c r="F135" t="s">
        <v>20</v>
      </c>
      <c r="G135" t="s">
        <v>21</v>
      </c>
    </row>
    <row r="136" spans="1:7">
      <c r="A136" t="s">
        <v>131</v>
      </c>
      <c r="B136" s="2">
        <v>45847</v>
      </c>
      <c r="C136" t="s">
        <v>35</v>
      </c>
      <c r="D136" t="s">
        <v>9</v>
      </c>
      <c r="E136" t="s">
        <v>97</v>
      </c>
      <c r="F136" t="s">
        <v>176</v>
      </c>
      <c r="G136" t="s">
        <v>12</v>
      </c>
    </row>
    <row r="137" spans="1:7">
      <c r="A137" t="s">
        <v>13</v>
      </c>
      <c r="B137" s="2">
        <v>45665</v>
      </c>
      <c r="C137" t="s">
        <v>30</v>
      </c>
      <c r="D137" t="s">
        <v>9</v>
      </c>
      <c r="E137" t="s">
        <v>47</v>
      </c>
      <c r="F137" t="s">
        <v>59</v>
      </c>
      <c r="G137" t="s">
        <v>12</v>
      </c>
    </row>
    <row r="138" spans="1:7">
      <c r="A138" t="s">
        <v>56</v>
      </c>
      <c r="B138" s="2">
        <v>46072</v>
      </c>
      <c r="C138" t="s">
        <v>26</v>
      </c>
      <c r="D138" t="s">
        <v>9</v>
      </c>
      <c r="E138" t="s">
        <v>50</v>
      </c>
      <c r="F138" t="s">
        <v>166</v>
      </c>
      <c r="G138" t="s">
        <v>12</v>
      </c>
    </row>
    <row r="139" spans="1:7">
      <c r="A139" t="s">
        <v>29</v>
      </c>
      <c r="B139" s="2">
        <v>45857</v>
      </c>
      <c r="C139" t="s">
        <v>30</v>
      </c>
      <c r="D139" t="s">
        <v>9</v>
      </c>
      <c r="E139" t="s">
        <v>99</v>
      </c>
      <c r="F139" t="s">
        <v>140</v>
      </c>
      <c r="G139" t="s">
        <v>12</v>
      </c>
    </row>
    <row r="140" spans="1:7">
      <c r="B140" s="2">
        <v>45875</v>
      </c>
      <c r="C140" t="s">
        <v>35</v>
      </c>
      <c r="D140" t="s">
        <v>18</v>
      </c>
      <c r="E140" t="s">
        <v>58</v>
      </c>
      <c r="F140" t="s">
        <v>115</v>
      </c>
      <c r="G140" t="s">
        <v>12</v>
      </c>
    </row>
    <row r="141" spans="1:7">
      <c r="A141" t="s">
        <v>65</v>
      </c>
      <c r="B141" s="2"/>
      <c r="C141" t="s">
        <v>30</v>
      </c>
      <c r="D141" t="s">
        <v>9</v>
      </c>
      <c r="E141" t="s">
        <v>52</v>
      </c>
      <c r="F141" t="s">
        <v>44</v>
      </c>
      <c r="G141" t="s">
        <v>12</v>
      </c>
    </row>
    <row r="142" spans="1:7">
      <c r="A142" t="s">
        <v>149</v>
      </c>
      <c r="B142" s="2">
        <v>45866</v>
      </c>
      <c r="C142" t="s">
        <v>8</v>
      </c>
      <c r="D142" t="s">
        <v>18</v>
      </c>
      <c r="E142" t="s">
        <v>111</v>
      </c>
      <c r="F142" t="s">
        <v>86</v>
      </c>
      <c r="G142" t="s">
        <v>12</v>
      </c>
    </row>
    <row r="143" spans="1:7">
      <c r="A143" t="s">
        <v>42</v>
      </c>
      <c r="B143" s="2">
        <v>45786</v>
      </c>
      <c r="C143" t="s">
        <v>35</v>
      </c>
      <c r="D143" t="s">
        <v>18</v>
      </c>
      <c r="E143" t="s">
        <v>43</v>
      </c>
      <c r="F143" t="s">
        <v>143</v>
      </c>
      <c r="G143" t="s">
        <v>33</v>
      </c>
    </row>
    <row r="144" spans="1:7">
      <c r="A144" t="s">
        <v>80</v>
      </c>
      <c r="B144" s="2">
        <v>45682</v>
      </c>
      <c r="C144" t="s">
        <v>35</v>
      </c>
      <c r="D144" t="s">
        <v>18</v>
      </c>
      <c r="E144" t="s">
        <v>99</v>
      </c>
      <c r="F144" t="s">
        <v>180</v>
      </c>
      <c r="G144" t="s">
        <v>12</v>
      </c>
    </row>
    <row r="145" spans="1:7">
      <c r="A145" t="s">
        <v>162</v>
      </c>
      <c r="B145" s="2">
        <v>45908</v>
      </c>
      <c r="C145" t="s">
        <v>35</v>
      </c>
      <c r="D145" t="s">
        <v>9</v>
      </c>
      <c r="F145" t="s">
        <v>16</v>
      </c>
      <c r="G145" t="s">
        <v>12</v>
      </c>
    </row>
    <row r="146" spans="1:7">
      <c r="A146" t="s">
        <v>68</v>
      </c>
      <c r="B146" s="2">
        <v>46197</v>
      </c>
      <c r="C146" t="s">
        <v>23</v>
      </c>
      <c r="D146" t="s">
        <v>9</v>
      </c>
      <c r="E146" t="s">
        <v>181</v>
      </c>
      <c r="F146" t="s">
        <v>161</v>
      </c>
      <c r="G146" t="s">
        <v>21</v>
      </c>
    </row>
    <row r="147" spans="1:7">
      <c r="B147" s="2">
        <v>46097</v>
      </c>
      <c r="C147" t="s">
        <v>23</v>
      </c>
      <c r="D147" t="s">
        <v>9</v>
      </c>
      <c r="E147" t="s">
        <v>54</v>
      </c>
      <c r="F147" t="s">
        <v>67</v>
      </c>
      <c r="G147" t="s">
        <v>12</v>
      </c>
    </row>
    <row r="148" spans="1:7">
      <c r="A148" t="s">
        <v>78</v>
      </c>
      <c r="B148" s="2">
        <v>46136</v>
      </c>
      <c r="C148" t="s">
        <v>35</v>
      </c>
      <c r="D148" t="s">
        <v>9</v>
      </c>
      <c r="E148" t="s">
        <v>40</v>
      </c>
      <c r="F148" t="s">
        <v>40</v>
      </c>
      <c r="G148" t="s">
        <v>41</v>
      </c>
    </row>
    <row r="149" spans="1:7">
      <c r="A149" t="s">
        <v>105</v>
      </c>
      <c r="B149" s="2">
        <v>45727</v>
      </c>
      <c r="C149" t="s">
        <v>26</v>
      </c>
      <c r="D149" t="s">
        <v>9</v>
      </c>
      <c r="E149" t="s">
        <v>144</v>
      </c>
      <c r="F149" t="s">
        <v>140</v>
      </c>
      <c r="G149" t="s">
        <v>12</v>
      </c>
    </row>
    <row r="150" spans="1:7">
      <c r="A150" t="s">
        <v>83</v>
      </c>
      <c r="B150" s="2">
        <v>45736</v>
      </c>
      <c r="C150" t="s">
        <v>30</v>
      </c>
      <c r="D150" t="s">
        <v>18</v>
      </c>
      <c r="E150" t="s">
        <v>10</v>
      </c>
      <c r="F150" t="s">
        <v>182</v>
      </c>
      <c r="G150" t="s">
        <v>12</v>
      </c>
    </row>
    <row r="151" spans="1:7">
      <c r="A151" t="s">
        <v>183</v>
      </c>
      <c r="B151" s="2">
        <v>45790</v>
      </c>
      <c r="C151" t="s">
        <v>35</v>
      </c>
      <c r="D151" t="s">
        <v>18</v>
      </c>
      <c r="E151" t="s">
        <v>99</v>
      </c>
      <c r="F151" t="s">
        <v>108</v>
      </c>
      <c r="G151" t="s">
        <v>12</v>
      </c>
    </row>
    <row r="152" spans="1:7">
      <c r="A152" t="s">
        <v>109</v>
      </c>
      <c r="B152" s="2">
        <v>46202</v>
      </c>
      <c r="C152" t="s">
        <v>26</v>
      </c>
      <c r="D152" t="s">
        <v>9</v>
      </c>
      <c r="E152" t="s">
        <v>31</v>
      </c>
      <c r="F152" t="s">
        <v>69</v>
      </c>
      <c r="G152" t="s">
        <v>12</v>
      </c>
    </row>
    <row r="153" spans="1:7">
      <c r="A153" t="s">
        <v>57</v>
      </c>
      <c r="B153" s="2">
        <v>45715</v>
      </c>
      <c r="C153" t="s">
        <v>35</v>
      </c>
      <c r="D153" t="s">
        <v>18</v>
      </c>
      <c r="E153" t="s">
        <v>54</v>
      </c>
      <c r="F153" t="s">
        <v>117</v>
      </c>
      <c r="G153" t="s">
        <v>12</v>
      </c>
    </row>
    <row r="154" spans="1:7">
      <c r="A154" t="s">
        <v>141</v>
      </c>
      <c r="B154" s="2">
        <v>46183</v>
      </c>
      <c r="C154" t="s">
        <v>14</v>
      </c>
      <c r="D154" t="s">
        <v>18</v>
      </c>
      <c r="E154" t="s">
        <v>135</v>
      </c>
      <c r="F154" t="s">
        <v>176</v>
      </c>
      <c r="G154" t="s">
        <v>12</v>
      </c>
    </row>
    <row r="155" spans="1:7">
      <c r="A155" t="s">
        <v>49</v>
      </c>
      <c r="B155" s="2">
        <v>45720</v>
      </c>
      <c r="C155" t="s">
        <v>30</v>
      </c>
      <c r="D155" t="s">
        <v>9</v>
      </c>
      <c r="E155" t="s">
        <v>10</v>
      </c>
      <c r="F155" t="s">
        <v>184</v>
      </c>
      <c r="G155" t="s">
        <v>12</v>
      </c>
    </row>
    <row r="156" spans="1:7">
      <c r="A156" t="s">
        <v>156</v>
      </c>
      <c r="B156" s="2">
        <v>46200</v>
      </c>
      <c r="C156" t="s">
        <v>30</v>
      </c>
      <c r="D156" t="s">
        <v>9</v>
      </c>
      <c r="E156" t="s">
        <v>185</v>
      </c>
      <c r="F156" t="s">
        <v>186</v>
      </c>
      <c r="G156" t="s">
        <v>21</v>
      </c>
    </row>
    <row r="157" spans="1:7">
      <c r="B157" s="2">
        <v>45915</v>
      </c>
      <c r="C157" t="s">
        <v>30</v>
      </c>
      <c r="D157" t="s">
        <v>9</v>
      </c>
      <c r="E157" t="s">
        <v>47</v>
      </c>
      <c r="F157" t="s">
        <v>146</v>
      </c>
      <c r="G157" t="s">
        <v>12</v>
      </c>
    </row>
    <row r="158" spans="1:7">
      <c r="A158" t="s">
        <v>187</v>
      </c>
      <c r="B158" s="2">
        <v>46150</v>
      </c>
      <c r="C158" t="s">
        <v>26</v>
      </c>
      <c r="D158" t="s">
        <v>9</v>
      </c>
      <c r="E158" t="s">
        <v>52</v>
      </c>
      <c r="G158" t="s">
        <v>33</v>
      </c>
    </row>
    <row r="159" spans="1:7">
      <c r="A159" t="s">
        <v>25</v>
      </c>
      <c r="B159" s="2">
        <v>45872</v>
      </c>
      <c r="C159" t="s">
        <v>30</v>
      </c>
      <c r="D159" t="s">
        <v>18</v>
      </c>
      <c r="E159" t="s">
        <v>123</v>
      </c>
      <c r="F159" t="s">
        <v>28</v>
      </c>
      <c r="G159" t="s">
        <v>33</v>
      </c>
    </row>
    <row r="160" spans="1:7">
      <c r="A160" t="s">
        <v>167</v>
      </c>
      <c r="B160" s="2">
        <v>45835</v>
      </c>
      <c r="C160" t="s">
        <v>26</v>
      </c>
      <c r="D160" t="s">
        <v>18</v>
      </c>
      <c r="E160" t="s">
        <v>111</v>
      </c>
      <c r="F160" t="s">
        <v>67</v>
      </c>
      <c r="G160" t="s">
        <v>188</v>
      </c>
    </row>
    <row r="161" spans="1:7">
      <c r="A161" t="s">
        <v>89</v>
      </c>
      <c r="B161" s="2">
        <v>46155</v>
      </c>
      <c r="C161" t="s">
        <v>35</v>
      </c>
      <c r="D161" t="s">
        <v>9</v>
      </c>
      <c r="E161" t="s">
        <v>40</v>
      </c>
      <c r="F161" t="s">
        <v>40</v>
      </c>
      <c r="G161" t="s">
        <v>41</v>
      </c>
    </row>
    <row r="162" spans="1:7">
      <c r="A162" t="s">
        <v>168</v>
      </c>
      <c r="B162" s="2">
        <v>45982</v>
      </c>
      <c r="C162" t="s">
        <v>8</v>
      </c>
      <c r="D162" t="s">
        <v>9</v>
      </c>
      <c r="E162" t="s">
        <v>189</v>
      </c>
      <c r="F162" t="s">
        <v>190</v>
      </c>
      <c r="G162" t="s">
        <v>21</v>
      </c>
    </row>
    <row r="163" spans="1:7">
      <c r="A163" t="s">
        <v>51</v>
      </c>
      <c r="B163" s="2">
        <v>45671</v>
      </c>
      <c r="C163" t="s">
        <v>26</v>
      </c>
      <c r="D163" t="s">
        <v>9</v>
      </c>
      <c r="E163" t="s">
        <v>52</v>
      </c>
      <c r="F163" t="s">
        <v>24</v>
      </c>
      <c r="G163" t="s">
        <v>12</v>
      </c>
    </row>
    <row r="164" spans="1:7">
      <c r="A164" t="s">
        <v>80</v>
      </c>
      <c r="B164" s="2">
        <v>45874</v>
      </c>
      <c r="C164" t="s">
        <v>26</v>
      </c>
      <c r="E164" t="s">
        <v>111</v>
      </c>
      <c r="F164" t="s">
        <v>28</v>
      </c>
      <c r="G164" t="s">
        <v>33</v>
      </c>
    </row>
    <row r="165" spans="1:7">
      <c r="A165" t="s">
        <v>68</v>
      </c>
      <c r="B165" s="2">
        <v>45740</v>
      </c>
      <c r="C165" t="s">
        <v>8</v>
      </c>
      <c r="D165" t="s">
        <v>9</v>
      </c>
      <c r="F165" t="s">
        <v>16</v>
      </c>
      <c r="G165" t="s">
        <v>12</v>
      </c>
    </row>
    <row r="166" spans="1:7">
      <c r="A166" t="s">
        <v>191</v>
      </c>
      <c r="B166" s="2"/>
      <c r="C166" t="s">
        <v>35</v>
      </c>
      <c r="D166" t="s">
        <v>9</v>
      </c>
      <c r="E166" t="s">
        <v>54</v>
      </c>
      <c r="F166" t="s">
        <v>146</v>
      </c>
      <c r="G166" t="s">
        <v>12</v>
      </c>
    </row>
    <row r="167" spans="1:7">
      <c r="A167" t="s">
        <v>183</v>
      </c>
      <c r="B167" s="2">
        <v>45891</v>
      </c>
      <c r="C167" t="s">
        <v>35</v>
      </c>
      <c r="D167" t="s">
        <v>9</v>
      </c>
      <c r="E167" t="s">
        <v>50</v>
      </c>
      <c r="F167" t="s">
        <v>190</v>
      </c>
      <c r="G167" t="s">
        <v>12</v>
      </c>
    </row>
    <row r="168" spans="1:7">
      <c r="A168" t="s">
        <v>105</v>
      </c>
      <c r="B168" s="2">
        <v>45847</v>
      </c>
      <c r="C168" t="s">
        <v>26</v>
      </c>
      <c r="D168" t="s">
        <v>9</v>
      </c>
      <c r="E168" t="s">
        <v>169</v>
      </c>
      <c r="F168" t="s">
        <v>75</v>
      </c>
      <c r="G168" t="s">
        <v>12</v>
      </c>
    </row>
    <row r="169" spans="1:7">
      <c r="A169" t="s">
        <v>192</v>
      </c>
      <c r="B169" s="2">
        <v>46177</v>
      </c>
      <c r="C169" t="s">
        <v>8</v>
      </c>
      <c r="D169" t="s">
        <v>9</v>
      </c>
      <c r="E169" t="s">
        <v>52</v>
      </c>
      <c r="G169" t="s">
        <v>12</v>
      </c>
    </row>
    <row r="170" spans="1:7">
      <c r="A170" t="s">
        <v>162</v>
      </c>
      <c r="B170" s="2">
        <v>45933</v>
      </c>
      <c r="C170" t="s">
        <v>23</v>
      </c>
      <c r="D170" t="s">
        <v>9</v>
      </c>
      <c r="E170" t="s">
        <v>54</v>
      </c>
      <c r="F170" t="s">
        <v>161</v>
      </c>
      <c r="G170" t="s">
        <v>33</v>
      </c>
    </row>
    <row r="171" spans="1:7">
      <c r="A171" t="s">
        <v>34</v>
      </c>
      <c r="B171" s="2">
        <v>45762</v>
      </c>
      <c r="C171" t="s">
        <v>23</v>
      </c>
      <c r="D171" t="s">
        <v>9</v>
      </c>
      <c r="E171" t="s">
        <v>54</v>
      </c>
      <c r="F171" t="s">
        <v>48</v>
      </c>
    </row>
    <row r="172" spans="1:7">
      <c r="B172" s="2">
        <v>45958</v>
      </c>
      <c r="C172" t="s">
        <v>8</v>
      </c>
      <c r="D172" t="s">
        <v>18</v>
      </c>
      <c r="E172" t="s">
        <v>193</v>
      </c>
      <c r="F172" t="s">
        <v>166</v>
      </c>
      <c r="G172" t="s">
        <v>21</v>
      </c>
    </row>
    <row r="173" spans="1:7">
      <c r="A173" t="s">
        <v>132</v>
      </c>
      <c r="B173" s="2">
        <v>45679</v>
      </c>
      <c r="C173" t="s">
        <v>30</v>
      </c>
      <c r="D173" t="s">
        <v>9</v>
      </c>
      <c r="E173" t="s">
        <v>169</v>
      </c>
      <c r="F173" t="s">
        <v>194</v>
      </c>
      <c r="G173" t="s">
        <v>12</v>
      </c>
    </row>
    <row r="174" spans="1:7">
      <c r="B174" s="2">
        <v>45666</v>
      </c>
      <c r="C174" t="s">
        <v>14</v>
      </c>
      <c r="D174" t="s">
        <v>18</v>
      </c>
      <c r="E174" t="s">
        <v>195</v>
      </c>
      <c r="F174" t="s">
        <v>11</v>
      </c>
      <c r="G174" t="s">
        <v>21</v>
      </c>
    </row>
    <row r="175" spans="1:7">
      <c r="A175" t="s">
        <v>196</v>
      </c>
      <c r="B175" s="2">
        <v>45993</v>
      </c>
      <c r="C175" t="s">
        <v>35</v>
      </c>
      <c r="D175" t="s">
        <v>36</v>
      </c>
      <c r="E175" t="s">
        <v>58</v>
      </c>
      <c r="F175" t="s">
        <v>24</v>
      </c>
      <c r="G175" t="s">
        <v>12</v>
      </c>
    </row>
    <row r="176" spans="1:7">
      <c r="A176" t="s">
        <v>80</v>
      </c>
      <c r="B176" s="2"/>
      <c r="C176" t="s">
        <v>8</v>
      </c>
      <c r="D176" t="s">
        <v>18</v>
      </c>
      <c r="E176" t="s">
        <v>10</v>
      </c>
      <c r="F176" t="s">
        <v>182</v>
      </c>
      <c r="G176" t="s">
        <v>12</v>
      </c>
    </row>
    <row r="177" spans="1:7">
      <c r="A177" t="s">
        <v>187</v>
      </c>
      <c r="B177" s="2">
        <v>45805</v>
      </c>
      <c r="D177" t="s">
        <v>9</v>
      </c>
      <c r="E177" t="s">
        <v>43</v>
      </c>
      <c r="F177" t="s">
        <v>48</v>
      </c>
      <c r="G177" t="s">
        <v>12</v>
      </c>
    </row>
    <row r="178" spans="1:7">
      <c r="A178" t="s">
        <v>197</v>
      </c>
      <c r="B178" s="2">
        <v>46086</v>
      </c>
      <c r="C178" t="s">
        <v>30</v>
      </c>
      <c r="D178" t="s">
        <v>18</v>
      </c>
      <c r="E178" t="s">
        <v>63</v>
      </c>
      <c r="F178" t="s">
        <v>122</v>
      </c>
      <c r="G178" t="s">
        <v>21</v>
      </c>
    </row>
    <row r="179" spans="1:7">
      <c r="A179" t="s">
        <v>113</v>
      </c>
      <c r="B179" s="2">
        <v>46023</v>
      </c>
      <c r="C179" t="s">
        <v>26</v>
      </c>
      <c r="D179" t="s">
        <v>9</v>
      </c>
      <c r="E179" t="s">
        <v>111</v>
      </c>
      <c r="F179" t="s">
        <v>198</v>
      </c>
      <c r="G179" t="s">
        <v>12</v>
      </c>
    </row>
    <row r="180" spans="1:7">
      <c r="A180" t="s">
        <v>168</v>
      </c>
      <c r="B180" s="2" t="s">
        <v>154</v>
      </c>
      <c r="C180" t="s">
        <v>8</v>
      </c>
      <c r="D180" t="s">
        <v>9</v>
      </c>
      <c r="E180" t="s">
        <v>189</v>
      </c>
      <c r="F180" t="s">
        <v>190</v>
      </c>
      <c r="G180" t="s">
        <v>21</v>
      </c>
    </row>
    <row r="181" spans="1:7">
      <c r="A181" t="s">
        <v>89</v>
      </c>
      <c r="B181" s="2">
        <v>46121</v>
      </c>
      <c r="C181" t="s">
        <v>35</v>
      </c>
      <c r="D181" t="s">
        <v>9</v>
      </c>
      <c r="E181" t="s">
        <v>99</v>
      </c>
      <c r="F181" t="s">
        <v>184</v>
      </c>
      <c r="G181" t="s">
        <v>12</v>
      </c>
    </row>
    <row r="182" spans="1:7">
      <c r="A182" t="s">
        <v>78</v>
      </c>
      <c r="B182" s="2">
        <v>46188</v>
      </c>
      <c r="D182" t="s">
        <v>9</v>
      </c>
      <c r="E182" t="s">
        <v>97</v>
      </c>
      <c r="F182" t="s">
        <v>116</v>
      </c>
      <c r="G182" t="s">
        <v>12</v>
      </c>
    </row>
    <row r="183" spans="1:7">
      <c r="A183" t="s">
        <v>199</v>
      </c>
      <c r="B183" s="2">
        <v>46057</v>
      </c>
      <c r="C183" t="s">
        <v>26</v>
      </c>
      <c r="D183" t="s">
        <v>18</v>
      </c>
      <c r="E183" t="s">
        <v>54</v>
      </c>
      <c r="F183" t="s">
        <v>161</v>
      </c>
      <c r="G183" t="s">
        <v>12</v>
      </c>
    </row>
    <row r="184" spans="1:7">
      <c r="A184" t="s">
        <v>93</v>
      </c>
      <c r="B184" s="2">
        <v>45827</v>
      </c>
      <c r="C184" t="s">
        <v>23</v>
      </c>
      <c r="D184" t="s">
        <v>9</v>
      </c>
      <c r="E184" t="s">
        <v>200</v>
      </c>
      <c r="F184" t="s">
        <v>24</v>
      </c>
      <c r="G184" t="s">
        <v>21</v>
      </c>
    </row>
    <row r="185" spans="1:7">
      <c r="A185" t="s">
        <v>177</v>
      </c>
      <c r="B185" s="2">
        <v>45880</v>
      </c>
      <c r="C185" t="s">
        <v>30</v>
      </c>
      <c r="D185" t="s">
        <v>9</v>
      </c>
      <c r="E185" t="s">
        <v>40</v>
      </c>
      <c r="F185" t="s">
        <v>40</v>
      </c>
      <c r="G185" t="s">
        <v>41</v>
      </c>
    </row>
    <row r="186" spans="1:7">
      <c r="A186" t="s">
        <v>177</v>
      </c>
      <c r="B186" s="2">
        <v>45811</v>
      </c>
      <c r="C186" t="s">
        <v>35</v>
      </c>
      <c r="D186" t="s">
        <v>9</v>
      </c>
      <c r="E186" t="s">
        <v>201</v>
      </c>
      <c r="F186" t="s">
        <v>61</v>
      </c>
      <c r="G186" t="s">
        <v>21</v>
      </c>
    </row>
    <row r="187" spans="1:7">
      <c r="A187" t="s">
        <v>202</v>
      </c>
      <c r="B187" s="2">
        <v>45998</v>
      </c>
      <c r="C187" t="s">
        <v>26</v>
      </c>
      <c r="D187" t="s">
        <v>9</v>
      </c>
      <c r="E187" t="s">
        <v>50</v>
      </c>
      <c r="F187" t="s">
        <v>117</v>
      </c>
      <c r="G187" t="s">
        <v>33</v>
      </c>
    </row>
    <row r="188" spans="1:7">
      <c r="A188" t="s">
        <v>34</v>
      </c>
      <c r="B188" s="2">
        <v>45735</v>
      </c>
      <c r="C188" t="s">
        <v>23</v>
      </c>
      <c r="D188" t="s">
        <v>9</v>
      </c>
      <c r="E188" t="s">
        <v>40</v>
      </c>
      <c r="F188" t="s">
        <v>40</v>
      </c>
      <c r="G188" t="s">
        <v>41</v>
      </c>
    </row>
    <row r="189" spans="1:7">
      <c r="B189" s="2">
        <v>45982</v>
      </c>
      <c r="C189" t="s">
        <v>23</v>
      </c>
      <c r="D189" t="s">
        <v>18</v>
      </c>
      <c r="E189" t="s">
        <v>52</v>
      </c>
      <c r="F189" t="s">
        <v>104</v>
      </c>
      <c r="G189" t="s">
        <v>33</v>
      </c>
    </row>
    <row r="190" spans="1:7">
      <c r="A190" t="s">
        <v>177</v>
      </c>
      <c r="B190" s="2">
        <v>46130</v>
      </c>
      <c r="C190" t="s">
        <v>23</v>
      </c>
      <c r="D190" t="s">
        <v>9</v>
      </c>
      <c r="E190" t="s">
        <v>201</v>
      </c>
      <c r="F190" t="s">
        <v>115</v>
      </c>
      <c r="G190" t="s">
        <v>21</v>
      </c>
    </row>
    <row r="191" spans="1:7">
      <c r="A191" t="s">
        <v>203</v>
      </c>
      <c r="B191" s="2">
        <v>45952</v>
      </c>
      <c r="C191" t="s">
        <v>26</v>
      </c>
      <c r="D191" t="s">
        <v>18</v>
      </c>
      <c r="E191" t="s">
        <v>189</v>
      </c>
      <c r="F191" t="s">
        <v>69</v>
      </c>
      <c r="G191" t="s">
        <v>21</v>
      </c>
    </row>
    <row r="192" spans="1:7">
      <c r="A192" t="s">
        <v>25</v>
      </c>
      <c r="B192" s="2">
        <v>46172</v>
      </c>
      <c r="C192" t="s">
        <v>23</v>
      </c>
      <c r="D192" t="s">
        <v>9</v>
      </c>
      <c r="E192" t="s">
        <v>54</v>
      </c>
      <c r="F192" t="s">
        <v>143</v>
      </c>
      <c r="G192" t="s">
        <v>12</v>
      </c>
    </row>
    <row r="193" spans="1:7">
      <c r="A193" t="s">
        <v>29</v>
      </c>
      <c r="B193" s="2">
        <v>45931</v>
      </c>
      <c r="C193" t="s">
        <v>26</v>
      </c>
      <c r="D193" t="s">
        <v>9</v>
      </c>
      <c r="E193" t="s">
        <v>58</v>
      </c>
      <c r="F193" t="s">
        <v>69</v>
      </c>
      <c r="G193" t="s">
        <v>12</v>
      </c>
    </row>
    <row r="194" spans="1:7">
      <c r="A194" t="s">
        <v>103</v>
      </c>
      <c r="B194" s="2">
        <v>46063</v>
      </c>
      <c r="C194" t="s">
        <v>26</v>
      </c>
      <c r="D194" t="s">
        <v>9</v>
      </c>
      <c r="E194" t="s">
        <v>204</v>
      </c>
      <c r="F194" t="s">
        <v>186</v>
      </c>
    </row>
    <row r="195" spans="1:7">
      <c r="A195" t="s">
        <v>131</v>
      </c>
      <c r="B195" s="2">
        <v>45774</v>
      </c>
      <c r="C195" t="s">
        <v>23</v>
      </c>
      <c r="D195" t="s">
        <v>9</v>
      </c>
      <c r="F195" t="s">
        <v>32</v>
      </c>
      <c r="G195" t="s">
        <v>33</v>
      </c>
    </row>
    <row r="196" spans="1:7">
      <c r="A196" t="s">
        <v>127</v>
      </c>
      <c r="B196" s="2">
        <v>45989</v>
      </c>
      <c r="C196" t="s">
        <v>30</v>
      </c>
      <c r="D196" t="s">
        <v>9</v>
      </c>
      <c r="E196" t="s">
        <v>111</v>
      </c>
      <c r="F196" t="s">
        <v>20</v>
      </c>
      <c r="G196" t="s">
        <v>12</v>
      </c>
    </row>
    <row r="197" spans="1:7">
      <c r="A197" t="s">
        <v>131</v>
      </c>
      <c r="B197" s="2">
        <v>45935</v>
      </c>
      <c r="C197" t="s">
        <v>23</v>
      </c>
      <c r="D197" t="s">
        <v>9</v>
      </c>
      <c r="E197" t="s">
        <v>111</v>
      </c>
      <c r="F197" t="s">
        <v>122</v>
      </c>
      <c r="G197" t="s">
        <v>12</v>
      </c>
    </row>
    <row r="198" spans="1:7">
      <c r="A198" t="s">
        <v>68</v>
      </c>
      <c r="B198" s="2">
        <v>45802</v>
      </c>
      <c r="C198" t="s">
        <v>35</v>
      </c>
      <c r="E198" t="s">
        <v>50</v>
      </c>
      <c r="F198" t="s">
        <v>48</v>
      </c>
      <c r="G198" t="s">
        <v>12</v>
      </c>
    </row>
    <row r="199" spans="1:7">
      <c r="A199" t="s">
        <v>205</v>
      </c>
      <c r="B199" s="2">
        <v>46063</v>
      </c>
      <c r="D199" t="s">
        <v>9</v>
      </c>
      <c r="E199" t="s">
        <v>10</v>
      </c>
      <c r="F199" t="s">
        <v>75</v>
      </c>
      <c r="G199" t="s">
        <v>12</v>
      </c>
    </row>
    <row r="200" spans="1:7">
      <c r="B200" s="2">
        <v>46007</v>
      </c>
      <c r="C200" t="s">
        <v>26</v>
      </c>
      <c r="D200" t="s">
        <v>9</v>
      </c>
      <c r="E200" t="s">
        <v>99</v>
      </c>
      <c r="F200" t="s">
        <v>98</v>
      </c>
      <c r="G200" t="s">
        <v>12</v>
      </c>
    </row>
    <row r="201" spans="1:7">
      <c r="A201" t="s">
        <v>22</v>
      </c>
      <c r="B201" s="2">
        <v>46108</v>
      </c>
      <c r="C201" t="s">
        <v>35</v>
      </c>
      <c r="D201" t="s">
        <v>9</v>
      </c>
      <c r="E201" t="s">
        <v>206</v>
      </c>
      <c r="F201" t="s">
        <v>155</v>
      </c>
      <c r="G201" t="s">
        <v>21</v>
      </c>
    </row>
    <row r="202" spans="1:7">
      <c r="A202" t="s">
        <v>85</v>
      </c>
      <c r="B202" s="2">
        <v>45877</v>
      </c>
      <c r="C202" t="s">
        <v>23</v>
      </c>
      <c r="D202" t="s">
        <v>9</v>
      </c>
      <c r="E202" t="s">
        <v>97</v>
      </c>
      <c r="G202" t="s">
        <v>33</v>
      </c>
    </row>
    <row r="203" spans="1:7">
      <c r="A203" t="s">
        <v>191</v>
      </c>
      <c r="B203" s="2">
        <v>45998</v>
      </c>
      <c r="C203" t="s">
        <v>23</v>
      </c>
      <c r="E203" t="s">
        <v>207</v>
      </c>
      <c r="F203" t="s">
        <v>133</v>
      </c>
      <c r="G203" t="s">
        <v>21</v>
      </c>
    </row>
    <row r="204" spans="1:7">
      <c r="A204" t="s">
        <v>192</v>
      </c>
      <c r="B204" s="2">
        <v>45911</v>
      </c>
      <c r="C204" t="s">
        <v>14</v>
      </c>
      <c r="D204" t="s">
        <v>9</v>
      </c>
      <c r="E204" t="s">
        <v>52</v>
      </c>
      <c r="F204" t="s">
        <v>28</v>
      </c>
      <c r="G204" t="s">
        <v>12</v>
      </c>
    </row>
    <row r="205" spans="1:7">
      <c r="A205" t="s">
        <v>51</v>
      </c>
      <c r="B205" s="2">
        <v>45865</v>
      </c>
      <c r="C205" t="s">
        <v>23</v>
      </c>
      <c r="D205" t="s">
        <v>9</v>
      </c>
      <c r="E205" t="s">
        <v>58</v>
      </c>
      <c r="F205" t="s">
        <v>72</v>
      </c>
      <c r="G205" t="s">
        <v>12</v>
      </c>
    </row>
    <row r="206" spans="1:7">
      <c r="A206" t="s">
        <v>110</v>
      </c>
      <c r="B206" s="2">
        <v>45762</v>
      </c>
      <c r="C206" t="s">
        <v>26</v>
      </c>
      <c r="D206" t="s">
        <v>18</v>
      </c>
      <c r="E206" t="s">
        <v>47</v>
      </c>
      <c r="F206" t="s">
        <v>155</v>
      </c>
      <c r="G206" t="s">
        <v>33</v>
      </c>
    </row>
    <row r="207" spans="1:7">
      <c r="A207" t="s">
        <v>60</v>
      </c>
      <c r="B207" s="2">
        <v>45972</v>
      </c>
      <c r="C207" t="s">
        <v>8</v>
      </c>
      <c r="D207" t="s">
        <v>18</v>
      </c>
      <c r="E207" t="s">
        <v>50</v>
      </c>
      <c r="F207" t="s">
        <v>190</v>
      </c>
      <c r="G207" t="s">
        <v>33</v>
      </c>
    </row>
    <row r="208" spans="1:7">
      <c r="A208" t="s">
        <v>168</v>
      </c>
      <c r="B208" s="2">
        <v>46109</v>
      </c>
      <c r="C208" t="s">
        <v>139</v>
      </c>
      <c r="D208" t="s">
        <v>9</v>
      </c>
      <c r="E208" t="s">
        <v>99</v>
      </c>
      <c r="F208" t="s">
        <v>153</v>
      </c>
      <c r="G208" t="s">
        <v>12</v>
      </c>
    </row>
    <row r="209" spans="1:7">
      <c r="A209" t="s">
        <v>110</v>
      </c>
      <c r="B209" s="2">
        <v>45667</v>
      </c>
      <c r="C209" t="s">
        <v>23</v>
      </c>
      <c r="D209" t="s">
        <v>9</v>
      </c>
      <c r="E209" t="s">
        <v>54</v>
      </c>
      <c r="F209" t="s">
        <v>55</v>
      </c>
    </row>
    <row r="210" spans="1:7">
      <c r="A210" t="s">
        <v>177</v>
      </c>
      <c r="B210" s="2">
        <v>46036</v>
      </c>
      <c r="C210" t="s">
        <v>26</v>
      </c>
      <c r="F210" t="s">
        <v>150</v>
      </c>
      <c r="G210" t="s">
        <v>12</v>
      </c>
    </row>
    <row r="211" spans="1:7">
      <c r="A211" t="s">
        <v>177</v>
      </c>
      <c r="B211" s="2">
        <v>46032</v>
      </c>
      <c r="C211" t="s">
        <v>26</v>
      </c>
      <c r="D211" t="s">
        <v>9</v>
      </c>
      <c r="E211" t="s">
        <v>58</v>
      </c>
      <c r="F211" t="s">
        <v>120</v>
      </c>
      <c r="G211" t="s">
        <v>12</v>
      </c>
    </row>
    <row r="212" spans="1:7">
      <c r="A212" t="s">
        <v>92</v>
      </c>
      <c r="B212" s="2">
        <v>45797</v>
      </c>
      <c r="C212" t="s">
        <v>35</v>
      </c>
      <c r="D212" t="s">
        <v>18</v>
      </c>
      <c r="E212" t="s">
        <v>208</v>
      </c>
      <c r="F212" t="s">
        <v>100</v>
      </c>
      <c r="G212" t="s">
        <v>21</v>
      </c>
    </row>
    <row r="213" spans="1:7">
      <c r="A213" t="s">
        <v>103</v>
      </c>
      <c r="B213" s="2">
        <v>45987</v>
      </c>
      <c r="C213" t="s">
        <v>30</v>
      </c>
      <c r="D213" t="s">
        <v>9</v>
      </c>
      <c r="E213" t="s">
        <v>66</v>
      </c>
      <c r="F213" t="s">
        <v>86</v>
      </c>
    </row>
    <row r="214" spans="1:7">
      <c r="A214" t="s">
        <v>42</v>
      </c>
      <c r="B214" s="2">
        <v>46096</v>
      </c>
      <c r="C214" t="s">
        <v>23</v>
      </c>
      <c r="D214" t="s">
        <v>18</v>
      </c>
      <c r="E214" t="s">
        <v>66</v>
      </c>
      <c r="F214" t="s">
        <v>146</v>
      </c>
      <c r="G214" t="s">
        <v>12</v>
      </c>
    </row>
    <row r="215" spans="1:7">
      <c r="A215" t="s">
        <v>80</v>
      </c>
      <c r="B215" s="2">
        <v>46114</v>
      </c>
      <c r="C215" t="s">
        <v>23</v>
      </c>
      <c r="D215" t="s">
        <v>9</v>
      </c>
      <c r="F215" t="s">
        <v>38</v>
      </c>
      <c r="G215" t="s">
        <v>12</v>
      </c>
    </row>
    <row r="216" spans="1:7">
      <c r="A216" t="s">
        <v>57</v>
      </c>
      <c r="B216" s="2">
        <v>46111</v>
      </c>
      <c r="C216" t="s">
        <v>26</v>
      </c>
      <c r="D216" t="s">
        <v>18</v>
      </c>
      <c r="E216" t="s">
        <v>50</v>
      </c>
      <c r="F216" t="s">
        <v>44</v>
      </c>
      <c r="G216" t="s">
        <v>12</v>
      </c>
    </row>
    <row r="217" spans="1:7">
      <c r="A217" t="s">
        <v>151</v>
      </c>
      <c r="B217" s="2">
        <v>46035</v>
      </c>
      <c r="C217" t="s">
        <v>30</v>
      </c>
      <c r="D217" t="s">
        <v>9</v>
      </c>
      <c r="F217" t="s">
        <v>86</v>
      </c>
      <c r="G217" t="s">
        <v>12</v>
      </c>
    </row>
    <row r="218" spans="1:7">
      <c r="A218" t="s">
        <v>83</v>
      </c>
      <c r="B218" s="2">
        <v>45976</v>
      </c>
      <c r="C218" t="s">
        <v>26</v>
      </c>
      <c r="D218" t="s">
        <v>18</v>
      </c>
      <c r="E218" t="s">
        <v>171</v>
      </c>
      <c r="G218" t="s">
        <v>21</v>
      </c>
    </row>
    <row r="219" spans="1:7">
      <c r="A219" t="s">
        <v>147</v>
      </c>
      <c r="B219" s="2">
        <v>46176</v>
      </c>
      <c r="C219" t="s">
        <v>30</v>
      </c>
      <c r="D219" t="s">
        <v>9</v>
      </c>
      <c r="E219" t="s">
        <v>169</v>
      </c>
      <c r="F219" t="s">
        <v>140</v>
      </c>
      <c r="G219" t="s">
        <v>12</v>
      </c>
    </row>
    <row r="220" spans="1:7">
      <c r="A220" t="s">
        <v>92</v>
      </c>
      <c r="B220" s="2"/>
      <c r="C220" t="s">
        <v>14</v>
      </c>
      <c r="D220" t="s">
        <v>9</v>
      </c>
      <c r="E220" t="s">
        <v>101</v>
      </c>
      <c r="F220" t="s">
        <v>116</v>
      </c>
      <c r="G220" t="s">
        <v>33</v>
      </c>
    </row>
    <row r="221" spans="1:7">
      <c r="A221" t="s">
        <v>106</v>
      </c>
      <c r="B221" s="2">
        <v>46214</v>
      </c>
      <c r="C221" t="s">
        <v>30</v>
      </c>
      <c r="D221" t="s">
        <v>9</v>
      </c>
      <c r="E221" t="s">
        <v>135</v>
      </c>
      <c r="F221" t="s">
        <v>102</v>
      </c>
      <c r="G221" t="s">
        <v>12</v>
      </c>
    </row>
    <row r="222" spans="1:7">
      <c r="A222" t="s">
        <v>141</v>
      </c>
      <c r="B222" s="2">
        <v>45820</v>
      </c>
      <c r="C222" t="s">
        <v>35</v>
      </c>
      <c r="D222" t="s">
        <v>18</v>
      </c>
      <c r="E222" t="s">
        <v>209</v>
      </c>
      <c r="F222" t="s">
        <v>146</v>
      </c>
      <c r="G222" t="s">
        <v>21</v>
      </c>
    </row>
    <row r="223" spans="1:7">
      <c r="A223" t="s">
        <v>199</v>
      </c>
      <c r="B223" s="2">
        <v>46167</v>
      </c>
      <c r="C223" t="s">
        <v>23</v>
      </c>
      <c r="D223" t="s">
        <v>18</v>
      </c>
      <c r="E223" t="s">
        <v>210</v>
      </c>
      <c r="F223" t="s">
        <v>136</v>
      </c>
      <c r="G223" t="s">
        <v>21</v>
      </c>
    </row>
    <row r="224" spans="1:7">
      <c r="A224" t="s">
        <v>114</v>
      </c>
      <c r="B224" s="2">
        <v>46183</v>
      </c>
      <c r="C224" t="s">
        <v>30</v>
      </c>
      <c r="D224" t="s">
        <v>18</v>
      </c>
      <c r="E224" t="s">
        <v>123</v>
      </c>
      <c r="F224" t="s">
        <v>155</v>
      </c>
      <c r="G224" t="s">
        <v>12</v>
      </c>
    </row>
    <row r="225" spans="1:7">
      <c r="A225" t="s">
        <v>49</v>
      </c>
      <c r="B225" s="2">
        <v>45955</v>
      </c>
      <c r="C225" t="s">
        <v>23</v>
      </c>
      <c r="D225" t="s">
        <v>9</v>
      </c>
      <c r="E225" t="s">
        <v>52</v>
      </c>
      <c r="F225" t="s">
        <v>150</v>
      </c>
    </row>
    <row r="226" spans="1:7">
      <c r="A226" t="s">
        <v>29</v>
      </c>
      <c r="B226" s="2">
        <v>45931</v>
      </c>
      <c r="C226" t="s">
        <v>26</v>
      </c>
      <c r="D226" t="s">
        <v>9</v>
      </c>
      <c r="E226" t="s">
        <v>58</v>
      </c>
      <c r="F226" t="s">
        <v>69</v>
      </c>
      <c r="G226" t="s">
        <v>12</v>
      </c>
    </row>
    <row r="227" spans="1:7">
      <c r="A227" t="s">
        <v>130</v>
      </c>
      <c r="B227" s="2">
        <v>46066</v>
      </c>
      <c r="C227" t="s">
        <v>14</v>
      </c>
      <c r="D227" t="s">
        <v>9</v>
      </c>
      <c r="E227" t="s">
        <v>66</v>
      </c>
      <c r="F227" t="s">
        <v>24</v>
      </c>
      <c r="G227" t="s">
        <v>12</v>
      </c>
    </row>
    <row r="228" spans="1:7">
      <c r="A228" t="s">
        <v>25</v>
      </c>
      <c r="B228" s="2"/>
      <c r="C228" t="s">
        <v>23</v>
      </c>
      <c r="D228" t="s">
        <v>18</v>
      </c>
      <c r="E228" t="s">
        <v>139</v>
      </c>
      <c r="F228" t="s">
        <v>182</v>
      </c>
      <c r="G228" t="s">
        <v>12</v>
      </c>
    </row>
    <row r="229" spans="1:7">
      <c r="A229" t="s">
        <v>49</v>
      </c>
      <c r="B229" s="2">
        <v>46011</v>
      </c>
      <c r="C229" t="s">
        <v>8</v>
      </c>
      <c r="D229" t="s">
        <v>9</v>
      </c>
      <c r="E229" t="s">
        <v>82</v>
      </c>
      <c r="F229" t="s">
        <v>16</v>
      </c>
      <c r="G229" t="s">
        <v>12</v>
      </c>
    </row>
    <row r="230" spans="1:7">
      <c r="A230" t="s">
        <v>68</v>
      </c>
      <c r="B230" s="2">
        <v>45668</v>
      </c>
      <c r="C230" t="s">
        <v>23</v>
      </c>
      <c r="E230" t="s">
        <v>101</v>
      </c>
      <c r="F230" t="s">
        <v>211</v>
      </c>
      <c r="G230" t="s">
        <v>12</v>
      </c>
    </row>
    <row r="231" spans="1:7">
      <c r="A231" t="s">
        <v>60</v>
      </c>
      <c r="B231" s="2">
        <v>46090</v>
      </c>
      <c r="C231" t="s">
        <v>23</v>
      </c>
      <c r="D231" t="s">
        <v>9</v>
      </c>
      <c r="E231" t="s">
        <v>63</v>
      </c>
      <c r="F231" t="s">
        <v>117</v>
      </c>
      <c r="G231" t="s">
        <v>21</v>
      </c>
    </row>
    <row r="232" spans="1:7">
      <c r="A232" t="s">
        <v>127</v>
      </c>
      <c r="B232" s="2">
        <v>45753</v>
      </c>
      <c r="C232" t="s">
        <v>23</v>
      </c>
      <c r="D232" t="s">
        <v>9</v>
      </c>
      <c r="E232" t="s">
        <v>123</v>
      </c>
      <c r="F232" t="s">
        <v>55</v>
      </c>
      <c r="G232" t="s">
        <v>12</v>
      </c>
    </row>
    <row r="233" spans="1:7">
      <c r="A233" t="s">
        <v>131</v>
      </c>
      <c r="B233" s="2">
        <v>46141</v>
      </c>
      <c r="C233" t="s">
        <v>23</v>
      </c>
      <c r="D233" t="s">
        <v>9</v>
      </c>
      <c r="E233" t="s">
        <v>58</v>
      </c>
      <c r="F233" t="s">
        <v>155</v>
      </c>
    </row>
    <row r="234" spans="1:7">
      <c r="A234" t="s">
        <v>22</v>
      </c>
      <c r="B234" s="2"/>
      <c r="C234" t="s">
        <v>35</v>
      </c>
      <c r="D234" t="s">
        <v>9</v>
      </c>
      <c r="E234" t="s">
        <v>212</v>
      </c>
      <c r="F234" t="s">
        <v>48</v>
      </c>
      <c r="G234" t="s">
        <v>21</v>
      </c>
    </row>
    <row r="235" spans="1:7">
      <c r="A235" t="s">
        <v>114</v>
      </c>
      <c r="B235" s="2">
        <v>45891</v>
      </c>
      <c r="C235" t="s">
        <v>35</v>
      </c>
      <c r="D235" t="s">
        <v>18</v>
      </c>
      <c r="E235" t="s">
        <v>52</v>
      </c>
      <c r="G235" t="s">
        <v>33</v>
      </c>
    </row>
    <row r="236" spans="1:7">
      <c r="B236" s="2">
        <v>46056</v>
      </c>
      <c r="C236" t="s">
        <v>26</v>
      </c>
      <c r="D236" t="s">
        <v>9</v>
      </c>
      <c r="E236" t="s">
        <v>40</v>
      </c>
      <c r="F236" t="s">
        <v>40</v>
      </c>
      <c r="G236" t="s">
        <v>41</v>
      </c>
    </row>
    <row r="237" spans="1:7">
      <c r="A237" t="s">
        <v>62</v>
      </c>
      <c r="B237" s="2">
        <v>45671</v>
      </c>
      <c r="C237" t="s">
        <v>35</v>
      </c>
      <c r="D237" t="s">
        <v>18</v>
      </c>
      <c r="E237" t="s">
        <v>77</v>
      </c>
      <c r="F237" t="s">
        <v>59</v>
      </c>
      <c r="G237" t="s">
        <v>21</v>
      </c>
    </row>
    <row r="238" spans="1:7">
      <c r="A238" t="s">
        <v>7</v>
      </c>
      <c r="B238" s="2">
        <v>46054</v>
      </c>
      <c r="C238" t="s">
        <v>26</v>
      </c>
      <c r="D238" t="s">
        <v>9</v>
      </c>
      <c r="E238" t="s">
        <v>111</v>
      </c>
      <c r="F238" t="s">
        <v>139</v>
      </c>
      <c r="G238" t="s">
        <v>12</v>
      </c>
    </row>
    <row r="239" spans="1:7">
      <c r="A239" t="s">
        <v>79</v>
      </c>
      <c r="B239" s="2">
        <v>45763</v>
      </c>
      <c r="C239" t="s">
        <v>14</v>
      </c>
      <c r="D239" t="s">
        <v>18</v>
      </c>
      <c r="E239" t="s">
        <v>96</v>
      </c>
      <c r="F239" t="s">
        <v>182</v>
      </c>
      <c r="G239" t="s">
        <v>12</v>
      </c>
    </row>
    <row r="240" spans="1:7">
      <c r="A240" t="s">
        <v>17</v>
      </c>
      <c r="B240" s="2">
        <v>46006</v>
      </c>
      <c r="C240" t="s">
        <v>23</v>
      </c>
      <c r="D240" t="s">
        <v>9</v>
      </c>
      <c r="E240" t="s">
        <v>144</v>
      </c>
      <c r="F240" t="s">
        <v>178</v>
      </c>
      <c r="G240" t="s">
        <v>12</v>
      </c>
    </row>
    <row r="241" spans="1:7">
      <c r="A241" t="s">
        <v>39</v>
      </c>
      <c r="B241" s="2">
        <v>45807</v>
      </c>
      <c r="C241" t="s">
        <v>30</v>
      </c>
      <c r="D241" t="s">
        <v>9</v>
      </c>
      <c r="E241" t="s">
        <v>135</v>
      </c>
      <c r="F241" t="s">
        <v>213</v>
      </c>
      <c r="G241" t="s">
        <v>12</v>
      </c>
    </row>
    <row r="242" spans="1:7">
      <c r="A242" t="s">
        <v>103</v>
      </c>
      <c r="B242" s="2">
        <v>45703</v>
      </c>
      <c r="C242" t="s">
        <v>23</v>
      </c>
      <c r="D242" t="s">
        <v>214</v>
      </c>
      <c r="E242" t="s">
        <v>40</v>
      </c>
      <c r="F242" t="s">
        <v>40</v>
      </c>
      <c r="G242" t="s">
        <v>41</v>
      </c>
    </row>
    <row r="243" spans="1:7">
      <c r="A243" t="s">
        <v>83</v>
      </c>
      <c r="B243" s="2">
        <v>46212</v>
      </c>
      <c r="C243" t="s">
        <v>30</v>
      </c>
      <c r="D243" t="s">
        <v>9</v>
      </c>
      <c r="E243" t="s">
        <v>52</v>
      </c>
      <c r="F243" t="s">
        <v>67</v>
      </c>
      <c r="G243" t="s">
        <v>12</v>
      </c>
    </row>
    <row r="244" spans="1:7">
      <c r="A244" t="s">
        <v>106</v>
      </c>
      <c r="B244" s="2">
        <v>45683</v>
      </c>
      <c r="D244" t="s">
        <v>9</v>
      </c>
      <c r="E244" t="s">
        <v>52</v>
      </c>
      <c r="F244" t="s">
        <v>122</v>
      </c>
      <c r="G244" t="s">
        <v>12</v>
      </c>
    </row>
    <row r="245" spans="1:7">
      <c r="A245" t="s">
        <v>79</v>
      </c>
      <c r="B245" s="2">
        <v>45950</v>
      </c>
      <c r="C245" t="s">
        <v>23</v>
      </c>
      <c r="D245" t="s">
        <v>9</v>
      </c>
      <c r="E245" t="s">
        <v>50</v>
      </c>
      <c r="F245" t="s">
        <v>104</v>
      </c>
      <c r="G245" t="s">
        <v>33</v>
      </c>
    </row>
    <row r="246" spans="1:7">
      <c r="A246" t="s">
        <v>22</v>
      </c>
      <c r="B246" s="2">
        <v>45675</v>
      </c>
      <c r="C246" t="s">
        <v>30</v>
      </c>
      <c r="D246" t="s">
        <v>9</v>
      </c>
      <c r="E246" t="s">
        <v>40</v>
      </c>
      <c r="F246" t="s">
        <v>40</v>
      </c>
      <c r="G246" t="s">
        <v>41</v>
      </c>
    </row>
    <row r="247" spans="1:7">
      <c r="A247" t="s">
        <v>113</v>
      </c>
      <c r="B247" s="2">
        <v>46004</v>
      </c>
      <c r="C247" t="s">
        <v>23</v>
      </c>
      <c r="D247" t="s">
        <v>9</v>
      </c>
      <c r="E247" t="s">
        <v>40</v>
      </c>
      <c r="F247" t="s">
        <v>40</v>
      </c>
      <c r="G247" t="s">
        <v>215</v>
      </c>
    </row>
    <row r="248" spans="1:7">
      <c r="A248" t="s">
        <v>81</v>
      </c>
      <c r="B248" s="2">
        <v>45859</v>
      </c>
      <c r="C248" t="s">
        <v>8</v>
      </c>
      <c r="D248" t="s">
        <v>9</v>
      </c>
      <c r="E248" t="s">
        <v>216</v>
      </c>
      <c r="F248" t="s">
        <v>184</v>
      </c>
      <c r="G248" t="s">
        <v>21</v>
      </c>
    </row>
    <row r="249" spans="1:7">
      <c r="A249" t="s">
        <v>162</v>
      </c>
      <c r="B249" s="2">
        <v>46095</v>
      </c>
      <c r="C249" t="s">
        <v>8</v>
      </c>
      <c r="D249" t="s">
        <v>18</v>
      </c>
      <c r="E249" t="s">
        <v>58</v>
      </c>
      <c r="F249" t="s">
        <v>143</v>
      </c>
      <c r="G249" t="s">
        <v>12</v>
      </c>
    </row>
    <row r="250" spans="1:7">
      <c r="A250" t="s">
        <v>39</v>
      </c>
      <c r="B250" s="2">
        <v>45721</v>
      </c>
      <c r="C250" t="s">
        <v>30</v>
      </c>
      <c r="D250" t="s">
        <v>9</v>
      </c>
      <c r="E250" t="s">
        <v>54</v>
      </c>
      <c r="F250" t="s">
        <v>69</v>
      </c>
      <c r="G250" t="s">
        <v>12</v>
      </c>
    </row>
    <row r="251" spans="1:7">
      <c r="A251" t="s">
        <v>203</v>
      </c>
      <c r="B251" s="2"/>
      <c r="C251" t="s">
        <v>8</v>
      </c>
      <c r="D251" t="s">
        <v>18</v>
      </c>
      <c r="E251" t="s">
        <v>101</v>
      </c>
      <c r="F251" t="s">
        <v>96</v>
      </c>
      <c r="G251" t="s">
        <v>12</v>
      </c>
    </row>
    <row r="252" spans="1:7">
      <c r="A252" t="s">
        <v>84</v>
      </c>
      <c r="B252" s="2">
        <v>45832</v>
      </c>
      <c r="C252" t="s">
        <v>8</v>
      </c>
      <c r="D252" t="s">
        <v>9</v>
      </c>
      <c r="E252" t="s">
        <v>31</v>
      </c>
      <c r="F252" t="s">
        <v>48</v>
      </c>
      <c r="G252" t="s">
        <v>33</v>
      </c>
    </row>
    <row r="253" spans="1:7">
      <c r="A253" t="s">
        <v>127</v>
      </c>
      <c r="B253" s="2">
        <v>45680</v>
      </c>
      <c r="C253" t="s">
        <v>35</v>
      </c>
      <c r="E253" t="s">
        <v>50</v>
      </c>
      <c r="F253" t="s">
        <v>59</v>
      </c>
      <c r="G253" t="s">
        <v>12</v>
      </c>
    </row>
    <row r="254" spans="1:7">
      <c r="A254" t="s">
        <v>76</v>
      </c>
      <c r="B254" s="2">
        <v>45798</v>
      </c>
      <c r="C254" t="s">
        <v>30</v>
      </c>
      <c r="D254" t="s">
        <v>9</v>
      </c>
      <c r="E254" t="s">
        <v>31</v>
      </c>
      <c r="F254" t="s">
        <v>104</v>
      </c>
      <c r="G254" t="s">
        <v>12</v>
      </c>
    </row>
    <row r="255" spans="1:7">
      <c r="A255" t="s">
        <v>173</v>
      </c>
      <c r="B255" s="2">
        <v>46052</v>
      </c>
      <c r="C255" t="s">
        <v>23</v>
      </c>
      <c r="D255" t="s">
        <v>9</v>
      </c>
      <c r="E255" t="s">
        <v>97</v>
      </c>
      <c r="F255" t="s">
        <v>75</v>
      </c>
      <c r="G255" t="s">
        <v>12</v>
      </c>
    </row>
    <row r="256" spans="1:7">
      <c r="A256" t="s">
        <v>95</v>
      </c>
      <c r="B256" s="2">
        <v>45853</v>
      </c>
      <c r="C256" t="s">
        <v>30</v>
      </c>
      <c r="D256" t="s">
        <v>18</v>
      </c>
      <c r="E256" t="s">
        <v>144</v>
      </c>
      <c r="F256" t="s">
        <v>91</v>
      </c>
      <c r="G256" t="s">
        <v>12</v>
      </c>
    </row>
    <row r="257" spans="1:7">
      <c r="A257" t="s">
        <v>217</v>
      </c>
      <c r="B257" s="2">
        <v>46049</v>
      </c>
      <c r="C257" t="s">
        <v>35</v>
      </c>
      <c r="D257" t="s">
        <v>9</v>
      </c>
      <c r="E257" t="s">
        <v>40</v>
      </c>
      <c r="F257" t="s">
        <v>40</v>
      </c>
      <c r="G257" t="s">
        <v>41</v>
      </c>
    </row>
    <row r="258" spans="1:7">
      <c r="A258" t="s">
        <v>141</v>
      </c>
      <c r="B258" s="2">
        <v>45847</v>
      </c>
      <c r="C258" t="s">
        <v>26</v>
      </c>
      <c r="D258" t="s">
        <v>18</v>
      </c>
      <c r="F258" t="s">
        <v>44</v>
      </c>
      <c r="G258" t="s">
        <v>12</v>
      </c>
    </row>
    <row r="259" spans="1:7">
      <c r="A259" t="s">
        <v>73</v>
      </c>
      <c r="B259" s="2">
        <v>45838</v>
      </c>
      <c r="C259" t="s">
        <v>35</v>
      </c>
      <c r="D259" t="s">
        <v>18</v>
      </c>
      <c r="E259" t="s">
        <v>50</v>
      </c>
      <c r="F259" t="s">
        <v>32</v>
      </c>
    </row>
    <row r="260" spans="1:7">
      <c r="A260" t="s">
        <v>29</v>
      </c>
      <c r="B260" s="2">
        <v>45916</v>
      </c>
      <c r="D260" t="s">
        <v>9</v>
      </c>
      <c r="E260" t="s">
        <v>31</v>
      </c>
      <c r="F260" t="s">
        <v>28</v>
      </c>
      <c r="G260" t="s">
        <v>12</v>
      </c>
    </row>
    <row r="261" spans="1:7">
      <c r="A261" t="s">
        <v>160</v>
      </c>
      <c r="B261" s="2">
        <v>45767</v>
      </c>
      <c r="C261" t="s">
        <v>8</v>
      </c>
      <c r="D261" t="s">
        <v>9</v>
      </c>
      <c r="E261" t="s">
        <v>82</v>
      </c>
      <c r="F261" t="s">
        <v>211</v>
      </c>
      <c r="G261" t="s">
        <v>33</v>
      </c>
    </row>
    <row r="262" spans="1:7">
      <c r="B262" s="2">
        <v>45677</v>
      </c>
      <c r="C262" t="s">
        <v>26</v>
      </c>
      <c r="D262" t="s">
        <v>18</v>
      </c>
      <c r="E262" t="s">
        <v>169</v>
      </c>
      <c r="F262" t="s">
        <v>153</v>
      </c>
      <c r="G262" t="s">
        <v>188</v>
      </c>
    </row>
    <row r="263" spans="1:7">
      <c r="A263" t="s">
        <v>73</v>
      </c>
      <c r="B263" s="2"/>
      <c r="C263" t="s">
        <v>26</v>
      </c>
      <c r="D263" t="s">
        <v>9</v>
      </c>
      <c r="E263" t="s">
        <v>50</v>
      </c>
      <c r="F263" t="s">
        <v>94</v>
      </c>
      <c r="G263" t="s">
        <v>12</v>
      </c>
    </row>
    <row r="264" spans="1:7">
      <c r="A264" t="s">
        <v>89</v>
      </c>
      <c r="B264" s="2">
        <v>45780</v>
      </c>
      <c r="C264" t="s">
        <v>35</v>
      </c>
      <c r="D264" t="s">
        <v>9</v>
      </c>
      <c r="F264" t="s">
        <v>61</v>
      </c>
      <c r="G264" t="s">
        <v>21</v>
      </c>
    </row>
    <row r="265" spans="1:7">
      <c r="A265" t="s">
        <v>70</v>
      </c>
      <c r="B265" s="2">
        <v>45868</v>
      </c>
      <c r="C265" t="s">
        <v>23</v>
      </c>
      <c r="D265" t="s">
        <v>9</v>
      </c>
      <c r="E265" t="s">
        <v>43</v>
      </c>
      <c r="F265" t="s">
        <v>67</v>
      </c>
      <c r="G265" t="s">
        <v>12</v>
      </c>
    </row>
    <row r="266" spans="1:7">
      <c r="B266" s="2">
        <v>45883</v>
      </c>
      <c r="C266" t="s">
        <v>30</v>
      </c>
      <c r="D266" t="s">
        <v>18</v>
      </c>
      <c r="E266" t="s">
        <v>218</v>
      </c>
      <c r="F266" t="s">
        <v>140</v>
      </c>
      <c r="G266" t="s">
        <v>21</v>
      </c>
    </row>
    <row r="267" spans="1:7">
      <c r="A267" t="s">
        <v>79</v>
      </c>
      <c r="B267" s="2">
        <v>45658</v>
      </c>
      <c r="C267" t="s">
        <v>35</v>
      </c>
      <c r="D267" t="s">
        <v>18</v>
      </c>
      <c r="E267" t="s">
        <v>219</v>
      </c>
      <c r="F267" t="s">
        <v>11</v>
      </c>
      <c r="G267" t="s">
        <v>21</v>
      </c>
    </row>
    <row r="268" spans="1:7">
      <c r="A268" t="s">
        <v>56</v>
      </c>
      <c r="B268" s="2">
        <v>46122</v>
      </c>
      <c r="C268" t="s">
        <v>26</v>
      </c>
      <c r="D268" t="s">
        <v>9</v>
      </c>
      <c r="E268" t="s">
        <v>220</v>
      </c>
      <c r="F268" t="s">
        <v>69</v>
      </c>
      <c r="G268" t="s">
        <v>21</v>
      </c>
    </row>
    <row r="269" spans="1:7">
      <c r="A269" t="s">
        <v>56</v>
      </c>
      <c r="B269" s="2">
        <v>46191</v>
      </c>
      <c r="C269" t="s">
        <v>14</v>
      </c>
      <c r="D269" t="s">
        <v>18</v>
      </c>
      <c r="E269" t="s">
        <v>154</v>
      </c>
      <c r="F269" t="s">
        <v>55</v>
      </c>
      <c r="G269" t="s">
        <v>21</v>
      </c>
    </row>
    <row r="270" spans="1:7">
      <c r="A270" t="s">
        <v>132</v>
      </c>
      <c r="B270" s="2">
        <v>45873</v>
      </c>
      <c r="C270" t="s">
        <v>14</v>
      </c>
      <c r="D270" t="s">
        <v>9</v>
      </c>
      <c r="E270" t="s">
        <v>221</v>
      </c>
      <c r="F270" t="s">
        <v>61</v>
      </c>
      <c r="G270" t="s">
        <v>21</v>
      </c>
    </row>
    <row r="271" spans="1:7">
      <c r="A271" t="s">
        <v>203</v>
      </c>
      <c r="B271" s="2">
        <v>45750</v>
      </c>
      <c r="C271" t="s">
        <v>30</v>
      </c>
      <c r="D271" t="s">
        <v>9</v>
      </c>
      <c r="E271" t="s">
        <v>222</v>
      </c>
      <c r="F271" t="s">
        <v>104</v>
      </c>
      <c r="G271" t="s">
        <v>21</v>
      </c>
    </row>
    <row r="272" spans="1:7">
      <c r="A272" t="s">
        <v>192</v>
      </c>
      <c r="B272" s="2">
        <v>45982</v>
      </c>
      <c r="D272" t="s">
        <v>9</v>
      </c>
      <c r="E272" t="s">
        <v>144</v>
      </c>
      <c r="F272" t="s">
        <v>16</v>
      </c>
      <c r="G272" t="s">
        <v>33</v>
      </c>
    </row>
    <row r="273" spans="1:7">
      <c r="A273" t="s">
        <v>42</v>
      </c>
      <c r="B273" s="2">
        <v>45671</v>
      </c>
      <c r="C273" t="s">
        <v>23</v>
      </c>
      <c r="D273" t="s">
        <v>18</v>
      </c>
      <c r="E273" t="s">
        <v>47</v>
      </c>
      <c r="F273" t="s">
        <v>115</v>
      </c>
      <c r="G273" t="s">
        <v>12</v>
      </c>
    </row>
    <row r="274" spans="1:7">
      <c r="A274" t="s">
        <v>68</v>
      </c>
      <c r="B274" s="2">
        <v>46197</v>
      </c>
      <c r="C274" t="s">
        <v>23</v>
      </c>
      <c r="D274" t="s">
        <v>9</v>
      </c>
      <c r="E274" t="s">
        <v>181</v>
      </c>
      <c r="F274" t="s">
        <v>161</v>
      </c>
      <c r="G274" t="s">
        <v>21</v>
      </c>
    </row>
    <row r="275" spans="1:7">
      <c r="A275" t="s">
        <v>76</v>
      </c>
      <c r="B275" s="2">
        <v>45823</v>
      </c>
      <c r="C275" t="s">
        <v>30</v>
      </c>
      <c r="D275" t="s">
        <v>9</v>
      </c>
      <c r="E275" t="s">
        <v>222</v>
      </c>
      <c r="F275" t="s">
        <v>120</v>
      </c>
      <c r="G275" t="s">
        <v>21</v>
      </c>
    </row>
    <row r="276" spans="1:7">
      <c r="A276" t="s">
        <v>80</v>
      </c>
      <c r="B276" s="2">
        <v>46189</v>
      </c>
      <c r="C276" t="s">
        <v>23</v>
      </c>
      <c r="D276" t="s">
        <v>18</v>
      </c>
      <c r="E276" t="s">
        <v>43</v>
      </c>
      <c r="F276" t="s">
        <v>48</v>
      </c>
      <c r="G276" t="s">
        <v>12</v>
      </c>
    </row>
    <row r="277" spans="1:7">
      <c r="A277" t="s">
        <v>114</v>
      </c>
      <c r="B277" s="2">
        <v>45895</v>
      </c>
      <c r="C277" t="s">
        <v>30</v>
      </c>
      <c r="D277" t="s">
        <v>9</v>
      </c>
      <c r="E277" t="s">
        <v>43</v>
      </c>
      <c r="F277" t="s">
        <v>94</v>
      </c>
      <c r="G277" t="s">
        <v>12</v>
      </c>
    </row>
    <row r="278" spans="1:7">
      <c r="A278" t="s">
        <v>25</v>
      </c>
      <c r="B278" s="2">
        <v>45968</v>
      </c>
      <c r="C278" t="s">
        <v>14</v>
      </c>
      <c r="D278" t="s">
        <v>18</v>
      </c>
      <c r="E278" t="s">
        <v>15</v>
      </c>
      <c r="F278" t="s">
        <v>126</v>
      </c>
      <c r="G278" t="s">
        <v>33</v>
      </c>
    </row>
    <row r="279" spans="1:7">
      <c r="A279" t="s">
        <v>17</v>
      </c>
      <c r="B279" s="2">
        <v>46042</v>
      </c>
      <c r="D279" t="s">
        <v>9</v>
      </c>
      <c r="E279" t="s">
        <v>47</v>
      </c>
      <c r="F279" t="s">
        <v>120</v>
      </c>
      <c r="G279" t="s">
        <v>12</v>
      </c>
    </row>
    <row r="280" spans="1:7">
      <c r="A280" t="s">
        <v>87</v>
      </c>
      <c r="B280" s="2">
        <v>45779</v>
      </c>
      <c r="C280" t="s">
        <v>23</v>
      </c>
      <c r="D280" t="s">
        <v>9</v>
      </c>
      <c r="E280" t="s">
        <v>40</v>
      </c>
      <c r="F280" t="s">
        <v>40</v>
      </c>
    </row>
    <row r="281" spans="1:7">
      <c r="A281" t="s">
        <v>57</v>
      </c>
      <c r="B281" s="2">
        <v>46182</v>
      </c>
      <c r="C281" t="s">
        <v>23</v>
      </c>
      <c r="D281" t="s">
        <v>9</v>
      </c>
      <c r="E281" t="s">
        <v>66</v>
      </c>
      <c r="F281" t="s">
        <v>59</v>
      </c>
    </row>
    <row r="282" spans="1:7">
      <c r="A282" t="s">
        <v>119</v>
      </c>
      <c r="B282" s="2">
        <v>46232</v>
      </c>
      <c r="C282" t="s">
        <v>8</v>
      </c>
      <c r="D282" t="s">
        <v>9</v>
      </c>
      <c r="E282" t="s">
        <v>135</v>
      </c>
      <c r="F282" t="s">
        <v>88</v>
      </c>
    </row>
    <row r="283" spans="1:7">
      <c r="A283" t="s">
        <v>84</v>
      </c>
      <c r="B283" s="2">
        <v>45732</v>
      </c>
      <c r="C283" t="s">
        <v>26</v>
      </c>
      <c r="D283" t="s">
        <v>9</v>
      </c>
      <c r="E283" t="s">
        <v>193</v>
      </c>
      <c r="F283" t="s">
        <v>55</v>
      </c>
    </row>
    <row r="284" spans="1:7">
      <c r="A284" t="s">
        <v>172</v>
      </c>
      <c r="B284" s="2">
        <v>45792</v>
      </c>
      <c r="C284" t="s">
        <v>26</v>
      </c>
      <c r="D284" t="s">
        <v>9</v>
      </c>
      <c r="E284" t="s">
        <v>97</v>
      </c>
      <c r="F284" t="s">
        <v>100</v>
      </c>
      <c r="G284" t="s">
        <v>12</v>
      </c>
    </row>
    <row r="285" spans="1:7">
      <c r="A285" t="s">
        <v>49</v>
      </c>
      <c r="B285" s="2">
        <v>45776</v>
      </c>
      <c r="C285" t="s">
        <v>26</v>
      </c>
      <c r="D285" t="s">
        <v>9</v>
      </c>
      <c r="E285" t="s">
        <v>97</v>
      </c>
      <c r="F285" t="s">
        <v>108</v>
      </c>
      <c r="G285" t="s">
        <v>12</v>
      </c>
    </row>
    <row r="286" spans="1:7">
      <c r="A286" t="s">
        <v>73</v>
      </c>
      <c r="B286" s="2">
        <v>45764</v>
      </c>
      <c r="C286" t="s">
        <v>14</v>
      </c>
      <c r="D286" t="s">
        <v>9</v>
      </c>
      <c r="E286" t="s">
        <v>47</v>
      </c>
      <c r="F286" t="s">
        <v>146</v>
      </c>
      <c r="G286" t="s">
        <v>12</v>
      </c>
    </row>
    <row r="287" spans="1:7">
      <c r="A287" t="s">
        <v>51</v>
      </c>
      <c r="B287" s="2">
        <v>45873</v>
      </c>
      <c r="C287" t="s">
        <v>23</v>
      </c>
      <c r="D287" t="s">
        <v>9</v>
      </c>
      <c r="E287" t="s">
        <v>144</v>
      </c>
      <c r="F287" t="s">
        <v>116</v>
      </c>
      <c r="G287" t="s">
        <v>12</v>
      </c>
    </row>
    <row r="288" spans="1:7">
      <c r="A288" t="s">
        <v>71</v>
      </c>
      <c r="B288" s="2">
        <v>46069</v>
      </c>
      <c r="D288" t="s">
        <v>9</v>
      </c>
      <c r="E288" t="s">
        <v>74</v>
      </c>
      <c r="F288" t="s">
        <v>11</v>
      </c>
      <c r="G288" t="s">
        <v>12</v>
      </c>
    </row>
    <row r="289" spans="1:7">
      <c r="A289" t="s">
        <v>167</v>
      </c>
      <c r="B289" s="2">
        <v>46020</v>
      </c>
      <c r="C289" t="s">
        <v>26</v>
      </c>
      <c r="D289" t="s">
        <v>18</v>
      </c>
      <c r="E289" t="s">
        <v>58</v>
      </c>
      <c r="F289" t="s">
        <v>32</v>
      </c>
      <c r="G289" t="s">
        <v>33</v>
      </c>
    </row>
    <row r="290" spans="1:7">
      <c r="A290" t="s">
        <v>223</v>
      </c>
      <c r="B290" s="2">
        <v>45831</v>
      </c>
      <c r="C290" t="s">
        <v>26</v>
      </c>
      <c r="D290" t="s">
        <v>18</v>
      </c>
      <c r="E290" t="s">
        <v>52</v>
      </c>
      <c r="F290" t="s">
        <v>48</v>
      </c>
      <c r="G290" t="s">
        <v>12</v>
      </c>
    </row>
    <row r="291" spans="1:7">
      <c r="A291" t="s">
        <v>70</v>
      </c>
      <c r="B291" s="2">
        <v>45858</v>
      </c>
      <c r="C291" t="s">
        <v>23</v>
      </c>
      <c r="D291" t="s">
        <v>9</v>
      </c>
      <c r="E291" t="s">
        <v>54</v>
      </c>
      <c r="F291" t="s">
        <v>24</v>
      </c>
      <c r="G291" t="s">
        <v>12</v>
      </c>
    </row>
    <row r="292" spans="1:7">
      <c r="B292" s="2">
        <v>46179</v>
      </c>
      <c r="C292" t="s">
        <v>35</v>
      </c>
      <c r="D292" t="s">
        <v>18</v>
      </c>
      <c r="E292" t="s">
        <v>47</v>
      </c>
      <c r="F292" t="s">
        <v>198</v>
      </c>
      <c r="G292" t="s">
        <v>33</v>
      </c>
    </row>
    <row r="293" spans="1:7">
      <c r="A293" t="s">
        <v>205</v>
      </c>
      <c r="B293" s="2">
        <v>45872</v>
      </c>
      <c r="C293" t="s">
        <v>30</v>
      </c>
      <c r="D293" t="s">
        <v>9</v>
      </c>
      <c r="E293" t="s">
        <v>123</v>
      </c>
      <c r="G293" t="s">
        <v>12</v>
      </c>
    </row>
    <row r="294" spans="1:7">
      <c r="A294" t="s">
        <v>156</v>
      </c>
      <c r="B294" s="2">
        <v>45773</v>
      </c>
      <c r="C294" t="s">
        <v>8</v>
      </c>
      <c r="D294" t="s">
        <v>9</v>
      </c>
      <c r="E294" t="s">
        <v>52</v>
      </c>
      <c r="F294" t="s">
        <v>94</v>
      </c>
      <c r="G294" t="s">
        <v>12</v>
      </c>
    </row>
    <row r="295" spans="1:7">
      <c r="B295" s="2">
        <v>45740</v>
      </c>
      <c r="C295" t="s">
        <v>14</v>
      </c>
      <c r="D295" t="s">
        <v>9</v>
      </c>
      <c r="E295" t="s">
        <v>97</v>
      </c>
      <c r="F295" t="s">
        <v>180</v>
      </c>
      <c r="G295" t="s">
        <v>12</v>
      </c>
    </row>
    <row r="296" spans="1:7">
      <c r="A296" t="s">
        <v>73</v>
      </c>
      <c r="B296" s="2"/>
      <c r="C296" t="s">
        <v>224</v>
      </c>
      <c r="D296" t="s">
        <v>9</v>
      </c>
      <c r="E296" t="s">
        <v>209</v>
      </c>
      <c r="F296" t="s">
        <v>24</v>
      </c>
      <c r="G296" t="s">
        <v>21</v>
      </c>
    </row>
    <row r="297" spans="1:7">
      <c r="A297" t="s">
        <v>141</v>
      </c>
      <c r="B297" s="2">
        <v>45820</v>
      </c>
      <c r="C297" t="s">
        <v>35</v>
      </c>
      <c r="D297" t="s">
        <v>18</v>
      </c>
      <c r="E297" t="s">
        <v>209</v>
      </c>
      <c r="F297" t="s">
        <v>146</v>
      </c>
      <c r="G297" t="s">
        <v>21</v>
      </c>
    </row>
    <row r="298" spans="1:7">
      <c r="A298" t="s">
        <v>56</v>
      </c>
      <c r="B298" s="2">
        <v>46058</v>
      </c>
      <c r="C298" t="s">
        <v>23</v>
      </c>
      <c r="D298" t="s">
        <v>9</v>
      </c>
      <c r="E298" t="s">
        <v>111</v>
      </c>
      <c r="F298" t="s">
        <v>146</v>
      </c>
      <c r="G298" t="s">
        <v>12</v>
      </c>
    </row>
    <row r="299" spans="1:7">
      <c r="A299" t="s">
        <v>129</v>
      </c>
      <c r="B299" s="2">
        <v>46063</v>
      </c>
      <c r="C299" t="s">
        <v>14</v>
      </c>
      <c r="D299" t="s">
        <v>9</v>
      </c>
      <c r="E299" t="s">
        <v>40</v>
      </c>
      <c r="G299" t="s">
        <v>41</v>
      </c>
    </row>
    <row r="300" spans="1:7">
      <c r="A300" t="s">
        <v>89</v>
      </c>
      <c r="B300" s="2">
        <v>46047</v>
      </c>
      <c r="C300" t="s">
        <v>30</v>
      </c>
      <c r="D300" t="s">
        <v>9</v>
      </c>
      <c r="E300" t="s">
        <v>50</v>
      </c>
      <c r="F300" t="s">
        <v>120</v>
      </c>
      <c r="G300" t="s">
        <v>12</v>
      </c>
    </row>
    <row r="301" spans="1:7">
      <c r="A301" t="s">
        <v>34</v>
      </c>
      <c r="B301" s="2">
        <v>45854</v>
      </c>
      <c r="C301" t="s">
        <v>26</v>
      </c>
      <c r="D301" t="s">
        <v>9</v>
      </c>
      <c r="E301" t="s">
        <v>97</v>
      </c>
      <c r="F301" t="s">
        <v>136</v>
      </c>
      <c r="G30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1061-A038-4AAD-B54C-D0C14EDAB05C}">
  <dimension ref="A1:AB262"/>
  <sheetViews>
    <sheetView topLeftCell="L1" workbookViewId="0">
      <selection activeCell="Y31" sqref="Y31"/>
    </sheetView>
  </sheetViews>
  <sheetFormatPr defaultRowHeight="15"/>
  <cols>
    <col min="1" max="1" width="18.85546875" bestFit="1" customWidth="1"/>
    <col min="2" max="2" width="23.140625" style="23" bestFit="1" customWidth="1"/>
    <col min="3" max="3" width="17.42578125" bestFit="1" customWidth="1"/>
    <col min="4" max="4" width="10.28515625" bestFit="1" customWidth="1"/>
    <col min="5" max="5" width="15" style="16" bestFit="1" customWidth="1"/>
    <col min="6" max="6" width="16.85546875" style="16" bestFit="1" customWidth="1"/>
    <col min="7" max="7" width="24.85546875" bestFit="1" customWidth="1"/>
    <col min="8" max="8" width="18.7109375" bestFit="1" customWidth="1"/>
    <col min="19" max="19" width="30.140625" bestFit="1" customWidth="1"/>
    <col min="20" max="20" width="11" customWidth="1"/>
    <col min="23" max="23" width="18" bestFit="1" customWidth="1"/>
    <col min="24" max="24" width="10.140625" bestFit="1" customWidth="1"/>
    <col min="25" max="25" width="22.28515625" bestFit="1" customWidth="1"/>
    <col min="26" max="26" width="83.28515625" bestFit="1" customWidth="1"/>
    <col min="28" max="28" width="18" bestFit="1" customWidth="1"/>
    <col min="29" max="29" width="65.28515625" bestFit="1" customWidth="1"/>
    <col min="30" max="30" width="23" bestFit="1" customWidth="1"/>
  </cols>
  <sheetData>
    <row r="1" spans="1:28">
      <c r="A1" t="s">
        <v>0</v>
      </c>
      <c r="B1" s="23" t="s">
        <v>1</v>
      </c>
      <c r="C1" t="s">
        <v>2</v>
      </c>
      <c r="D1" t="s">
        <v>3</v>
      </c>
      <c r="E1" s="16" t="s">
        <v>4</v>
      </c>
      <c r="F1" s="16" t="s">
        <v>5</v>
      </c>
      <c r="G1" t="s">
        <v>6</v>
      </c>
      <c r="H1" t="s">
        <v>250</v>
      </c>
    </row>
    <row r="2" spans="1:28">
      <c r="A2" t="s">
        <v>7</v>
      </c>
      <c r="B2" s="23">
        <v>45939</v>
      </c>
      <c r="C2" t="s">
        <v>8</v>
      </c>
      <c r="D2" t="s">
        <v>9</v>
      </c>
      <c r="E2" s="16" t="s">
        <v>10</v>
      </c>
      <c r="F2" s="16" t="s">
        <v>11</v>
      </c>
      <c r="G2" t="s">
        <v>12</v>
      </c>
      <c r="H2" t="str">
        <f t="shared" ref="H2:H65" si="0">IFERROR(IF(TIMEVALUE(E2)&lt;TIME(12,0,0),"Morning","Evening"),D2)</f>
        <v>Evening</v>
      </c>
    </row>
    <row r="3" spans="1:28">
      <c r="A3" t="s">
        <v>13</v>
      </c>
      <c r="B3" s="23">
        <v>46103</v>
      </c>
      <c r="C3" t="s">
        <v>14</v>
      </c>
      <c r="D3" t="s">
        <v>9</v>
      </c>
      <c r="E3" s="16" t="s">
        <v>15</v>
      </c>
      <c r="F3" s="16" t="s">
        <v>16</v>
      </c>
      <c r="G3" t="s">
        <v>12</v>
      </c>
      <c r="H3" t="str">
        <f t="shared" si="0"/>
        <v>Evening</v>
      </c>
    </row>
    <row r="4" spans="1:28">
      <c r="A4" t="s">
        <v>17</v>
      </c>
      <c r="B4" s="23">
        <v>45778</v>
      </c>
      <c r="C4" t="s">
        <v>8</v>
      </c>
      <c r="D4" t="s">
        <v>18</v>
      </c>
      <c r="E4" s="16" t="s">
        <v>19</v>
      </c>
      <c r="F4" s="16" t="s">
        <v>20</v>
      </c>
      <c r="G4" t="s">
        <v>21</v>
      </c>
      <c r="H4" t="str">
        <f t="shared" si="0"/>
        <v>Morning</v>
      </c>
    </row>
    <row r="5" spans="1:28">
      <c r="A5" t="s">
        <v>22</v>
      </c>
      <c r="B5" s="23">
        <v>46026</v>
      </c>
      <c r="C5" t="s">
        <v>23</v>
      </c>
      <c r="D5" t="s">
        <v>9</v>
      </c>
      <c r="E5" s="16">
        <v>0.33958333333333335</v>
      </c>
      <c r="F5" s="16" t="s">
        <v>24</v>
      </c>
      <c r="G5" t="s">
        <v>12</v>
      </c>
      <c r="H5" t="str">
        <f t="shared" si="0"/>
        <v>Morning</v>
      </c>
      <c r="S5" t="s">
        <v>228</v>
      </c>
      <c r="T5" t="s">
        <v>251</v>
      </c>
      <c r="W5" s="3" t="s">
        <v>228</v>
      </c>
      <c r="X5" t="s">
        <v>229</v>
      </c>
      <c r="Y5" t="s">
        <v>234</v>
      </c>
      <c r="Z5" t="s">
        <v>235</v>
      </c>
      <c r="AB5" s="3"/>
    </row>
    <row r="6" spans="1:28">
      <c r="A6" t="s">
        <v>25</v>
      </c>
      <c r="B6" s="23">
        <v>45932</v>
      </c>
      <c r="C6" t="s">
        <v>26</v>
      </c>
      <c r="D6" t="s">
        <v>9</v>
      </c>
      <c r="E6" s="16" t="s">
        <v>27</v>
      </c>
      <c r="F6" s="16" t="s">
        <v>28</v>
      </c>
      <c r="G6" t="s">
        <v>21</v>
      </c>
      <c r="H6" t="str">
        <f t="shared" si="0"/>
        <v>Morning</v>
      </c>
      <c r="S6" t="s">
        <v>225</v>
      </c>
      <c r="T6">
        <v>300</v>
      </c>
      <c r="W6" t="s">
        <v>0</v>
      </c>
      <c r="X6">
        <v>15</v>
      </c>
      <c r="Y6" t="s">
        <v>236</v>
      </c>
      <c r="Z6" t="s">
        <v>237</v>
      </c>
    </row>
    <row r="7" spans="1:28">
      <c r="A7" t="s">
        <v>29</v>
      </c>
      <c r="B7" s="23">
        <v>45696</v>
      </c>
      <c r="C7" t="s">
        <v>30</v>
      </c>
      <c r="D7" t="s">
        <v>9</v>
      </c>
      <c r="E7" s="16" t="s">
        <v>31</v>
      </c>
      <c r="F7" s="16" t="s">
        <v>32</v>
      </c>
      <c r="G7" t="s">
        <v>33</v>
      </c>
      <c r="H7" t="str">
        <f t="shared" si="0"/>
        <v>Morning</v>
      </c>
      <c r="S7" t="s">
        <v>226</v>
      </c>
      <c r="T7">
        <v>7</v>
      </c>
      <c r="W7" t="s">
        <v>1</v>
      </c>
      <c r="X7">
        <v>17</v>
      </c>
      <c r="Y7" t="s">
        <v>236</v>
      </c>
      <c r="Z7" t="s">
        <v>238</v>
      </c>
    </row>
    <row r="8" spans="1:28">
      <c r="A8" t="s">
        <v>34</v>
      </c>
      <c r="B8" s="23">
        <v>45692</v>
      </c>
      <c r="C8" t="s">
        <v>35</v>
      </c>
      <c r="D8" t="s">
        <v>9</v>
      </c>
      <c r="E8" s="16" t="s">
        <v>37</v>
      </c>
      <c r="F8" s="16" t="s">
        <v>38</v>
      </c>
      <c r="G8" t="s">
        <v>21</v>
      </c>
      <c r="H8" t="str">
        <f t="shared" si="0"/>
        <v>Morning</v>
      </c>
      <c r="S8" t="s">
        <v>227</v>
      </c>
      <c r="T8">
        <v>293</v>
      </c>
      <c r="W8" t="s">
        <v>2</v>
      </c>
      <c r="X8">
        <v>18</v>
      </c>
      <c r="Y8" t="s">
        <v>230</v>
      </c>
      <c r="Z8" t="s">
        <v>239</v>
      </c>
    </row>
    <row r="9" spans="1:28">
      <c r="A9" t="s">
        <v>39</v>
      </c>
      <c r="B9" s="23">
        <v>45748</v>
      </c>
      <c r="C9" t="s">
        <v>8</v>
      </c>
      <c r="D9" t="s">
        <v>18</v>
      </c>
      <c r="E9" s="16" t="s">
        <v>40</v>
      </c>
      <c r="F9" s="16" t="s">
        <v>40</v>
      </c>
      <c r="G9" t="s">
        <v>41</v>
      </c>
      <c r="H9" t="str">
        <f t="shared" si="0"/>
        <v>Evening</v>
      </c>
      <c r="S9" t="s">
        <v>246</v>
      </c>
      <c r="T9">
        <v>278</v>
      </c>
      <c r="W9" t="s">
        <v>3</v>
      </c>
      <c r="X9">
        <v>18</v>
      </c>
      <c r="Y9" t="s">
        <v>231</v>
      </c>
      <c r="Z9" t="s">
        <v>240</v>
      </c>
    </row>
    <row r="10" spans="1:28">
      <c r="A10" t="s">
        <v>42</v>
      </c>
      <c r="B10" s="23">
        <v>46210</v>
      </c>
      <c r="C10" t="s">
        <v>26</v>
      </c>
      <c r="D10" t="s">
        <v>18</v>
      </c>
      <c r="E10" s="16" t="s">
        <v>43</v>
      </c>
      <c r="F10" s="16" t="s">
        <v>44</v>
      </c>
      <c r="G10" t="s">
        <v>12</v>
      </c>
      <c r="H10" t="str">
        <f t="shared" si="0"/>
        <v>Morning</v>
      </c>
      <c r="S10" t="s">
        <v>247</v>
      </c>
      <c r="T10">
        <v>261</v>
      </c>
      <c r="W10" t="s">
        <v>4</v>
      </c>
      <c r="X10">
        <v>41</v>
      </c>
      <c r="Y10" t="s">
        <v>232</v>
      </c>
      <c r="Z10" t="s">
        <v>241</v>
      </c>
    </row>
    <row r="11" spans="1:28">
      <c r="A11" t="s">
        <v>45</v>
      </c>
      <c r="B11" s="23">
        <v>45921</v>
      </c>
      <c r="C11" t="s">
        <v>26</v>
      </c>
      <c r="D11" t="s">
        <v>18</v>
      </c>
      <c r="F11" s="16" t="s">
        <v>40</v>
      </c>
      <c r="G11" t="s">
        <v>41</v>
      </c>
      <c r="H11" t="str">
        <f t="shared" si="0"/>
        <v>Evening</v>
      </c>
      <c r="W11" t="s">
        <v>5</v>
      </c>
      <c r="X11">
        <v>38</v>
      </c>
      <c r="Y11" t="s">
        <v>232</v>
      </c>
      <c r="Z11" t="s">
        <v>242</v>
      </c>
    </row>
    <row r="12" spans="1:28">
      <c r="A12" t="s">
        <v>46</v>
      </c>
      <c r="B12" s="23">
        <v>45774</v>
      </c>
      <c r="C12" t="s">
        <v>23</v>
      </c>
      <c r="D12" t="s">
        <v>9</v>
      </c>
      <c r="E12" s="16" t="s">
        <v>47</v>
      </c>
      <c r="F12" s="16" t="s">
        <v>48</v>
      </c>
      <c r="G12" t="s">
        <v>12</v>
      </c>
      <c r="H12" t="str">
        <f t="shared" si="0"/>
        <v>Morning</v>
      </c>
      <c r="S12" t="s">
        <v>248</v>
      </c>
      <c r="T12" t="s">
        <v>249</v>
      </c>
      <c r="W12" t="s">
        <v>6</v>
      </c>
      <c r="X12">
        <v>16</v>
      </c>
      <c r="Y12" t="s">
        <v>233</v>
      </c>
      <c r="Z12" t="s">
        <v>243</v>
      </c>
    </row>
    <row r="13" spans="1:28">
      <c r="A13" t="s">
        <v>49</v>
      </c>
      <c r="B13" s="23">
        <v>46168</v>
      </c>
      <c r="C13" t="s">
        <v>30</v>
      </c>
      <c r="D13" t="s">
        <v>18</v>
      </c>
      <c r="E13" s="16" t="s">
        <v>50</v>
      </c>
      <c r="F13" s="16" t="s">
        <v>48</v>
      </c>
      <c r="G13" t="s">
        <v>12</v>
      </c>
      <c r="H13" t="str">
        <f t="shared" si="0"/>
        <v>Morning</v>
      </c>
      <c r="S13" t="s">
        <v>23</v>
      </c>
      <c r="T13">
        <f>COUNTIF(C2:C262,"IT")</f>
        <v>76</v>
      </c>
    </row>
    <row r="14" spans="1:28">
      <c r="A14" t="s">
        <v>51</v>
      </c>
      <c r="B14" s="23">
        <v>45671</v>
      </c>
      <c r="C14" t="s">
        <v>26</v>
      </c>
      <c r="D14" t="s">
        <v>9</v>
      </c>
      <c r="E14" s="16" t="s">
        <v>52</v>
      </c>
      <c r="F14" s="16" t="s">
        <v>24</v>
      </c>
      <c r="G14" t="s">
        <v>12</v>
      </c>
      <c r="H14" t="str">
        <f t="shared" si="0"/>
        <v>Morning</v>
      </c>
      <c r="S14" t="s">
        <v>8</v>
      </c>
      <c r="T14">
        <f>COUNTIF(C2:C262,"Administration")</f>
        <v>30</v>
      </c>
    </row>
    <row r="15" spans="1:28">
      <c r="A15" t="s">
        <v>53</v>
      </c>
      <c r="B15" s="23">
        <v>46167</v>
      </c>
      <c r="C15" t="s">
        <v>35</v>
      </c>
      <c r="D15" t="s">
        <v>9</v>
      </c>
      <c r="E15" s="16" t="s">
        <v>54</v>
      </c>
      <c r="F15" s="16" t="s">
        <v>55</v>
      </c>
      <c r="G15" t="s">
        <v>12</v>
      </c>
      <c r="H15" t="str">
        <f t="shared" si="0"/>
        <v>Morning</v>
      </c>
      <c r="S15" t="s">
        <v>14</v>
      </c>
      <c r="T15">
        <f>COUNTIF(C2:C262,"HR")</f>
        <v>20</v>
      </c>
    </row>
    <row r="16" spans="1:28">
      <c r="A16" t="s">
        <v>56</v>
      </c>
      <c r="B16" s="23">
        <v>45986</v>
      </c>
      <c r="C16" t="s">
        <v>30</v>
      </c>
      <c r="D16" t="s">
        <v>9</v>
      </c>
      <c r="E16" s="16" t="s">
        <v>31</v>
      </c>
      <c r="F16" s="16">
        <v>0.71319444444444446</v>
      </c>
      <c r="G16" t="s">
        <v>12</v>
      </c>
      <c r="H16" t="str">
        <f t="shared" si="0"/>
        <v>Morning</v>
      </c>
      <c r="S16" t="s">
        <v>35</v>
      </c>
      <c r="T16">
        <f>COUNTIF(C2:C262,"Sales")</f>
        <v>39</v>
      </c>
    </row>
    <row r="17" spans="1:20">
      <c r="A17" t="s">
        <v>57</v>
      </c>
      <c r="B17" s="23">
        <v>45783</v>
      </c>
      <c r="C17" t="s">
        <v>23</v>
      </c>
      <c r="D17" t="s">
        <v>9</v>
      </c>
      <c r="E17" s="16" t="s">
        <v>58</v>
      </c>
      <c r="F17" s="16" t="s">
        <v>59</v>
      </c>
      <c r="G17" t="s">
        <v>12</v>
      </c>
      <c r="H17" t="str">
        <f t="shared" si="0"/>
        <v>Morning</v>
      </c>
      <c r="S17" t="s">
        <v>30</v>
      </c>
      <c r="T17">
        <f>COUNTIF(C2:C262,"Finance")</f>
        <v>45</v>
      </c>
    </row>
    <row r="18" spans="1:20">
      <c r="A18" t="s">
        <v>60</v>
      </c>
      <c r="B18" s="23">
        <v>45933</v>
      </c>
      <c r="C18" t="s">
        <v>8</v>
      </c>
      <c r="D18" t="s">
        <v>9</v>
      </c>
      <c r="E18" s="16" t="s">
        <v>43</v>
      </c>
      <c r="F18" s="16" t="s">
        <v>61</v>
      </c>
      <c r="G18" t="s">
        <v>12</v>
      </c>
      <c r="H18" t="str">
        <f t="shared" si="0"/>
        <v>Morning</v>
      </c>
      <c r="S18" t="s">
        <v>26</v>
      </c>
      <c r="T18">
        <f>COUNTIF(C2:C262,"Operations")</f>
        <v>51</v>
      </c>
    </row>
    <row r="19" spans="1:20">
      <c r="A19" t="s">
        <v>62</v>
      </c>
      <c r="B19" s="23">
        <v>46125</v>
      </c>
      <c r="C19" t="s">
        <v>8</v>
      </c>
      <c r="D19" t="s">
        <v>9</v>
      </c>
      <c r="E19" s="16" t="s">
        <v>63</v>
      </c>
      <c r="F19" s="16" t="s">
        <v>64</v>
      </c>
      <c r="G19" t="s">
        <v>21</v>
      </c>
      <c r="H19" t="str">
        <f t="shared" si="0"/>
        <v>Morning</v>
      </c>
    </row>
    <row r="20" spans="1:20">
      <c r="A20" t="s">
        <v>65</v>
      </c>
      <c r="B20" s="23">
        <v>46095</v>
      </c>
      <c r="C20" t="s">
        <v>8</v>
      </c>
      <c r="D20" t="s">
        <v>9</v>
      </c>
      <c r="E20" s="16" t="s">
        <v>66</v>
      </c>
      <c r="F20" s="16" t="s">
        <v>67</v>
      </c>
      <c r="G20" t="s">
        <v>12</v>
      </c>
      <c r="H20" t="str">
        <f t="shared" si="0"/>
        <v>Morning</v>
      </c>
    </row>
    <row r="21" spans="1:20">
      <c r="A21" t="s">
        <v>68</v>
      </c>
      <c r="B21" s="23">
        <v>45787</v>
      </c>
      <c r="C21" t="s">
        <v>35</v>
      </c>
      <c r="D21" t="s">
        <v>9</v>
      </c>
      <c r="E21" s="16" t="s">
        <v>54</v>
      </c>
      <c r="F21" s="16" t="s">
        <v>69</v>
      </c>
      <c r="G21" t="s">
        <v>12</v>
      </c>
      <c r="H21" t="str">
        <f t="shared" si="0"/>
        <v>Morning</v>
      </c>
    </row>
    <row r="22" spans="1:20">
      <c r="A22" t="s">
        <v>70</v>
      </c>
      <c r="B22" s="23">
        <v>46012</v>
      </c>
      <c r="C22" t="s">
        <v>35</v>
      </c>
      <c r="D22" t="s">
        <v>18</v>
      </c>
      <c r="E22" s="16" t="s">
        <v>31</v>
      </c>
      <c r="F22" s="16" t="s">
        <v>61</v>
      </c>
      <c r="G22" t="s">
        <v>12</v>
      </c>
      <c r="H22" t="str">
        <f t="shared" si="0"/>
        <v>Morning</v>
      </c>
      <c r="S22" t="s">
        <v>244</v>
      </c>
      <c r="T22" s="5" t="s">
        <v>245</v>
      </c>
    </row>
    <row r="23" spans="1:20">
      <c r="A23" t="s">
        <v>71</v>
      </c>
      <c r="B23" s="23">
        <v>45927</v>
      </c>
      <c r="C23" t="s">
        <v>30</v>
      </c>
      <c r="D23" t="s">
        <v>18</v>
      </c>
      <c r="E23" s="16" t="s">
        <v>19</v>
      </c>
      <c r="F23" s="16" t="s">
        <v>72</v>
      </c>
      <c r="G23" t="s">
        <v>21</v>
      </c>
      <c r="H23" t="str">
        <f t="shared" si="0"/>
        <v>Morning</v>
      </c>
      <c r="S23" t="s">
        <v>252</v>
      </c>
      <c r="T23" s="5">
        <v>0.58680555555555558</v>
      </c>
    </row>
    <row r="24" spans="1:20">
      <c r="A24" t="s">
        <v>73</v>
      </c>
      <c r="B24" s="23">
        <v>45924</v>
      </c>
      <c r="C24" t="s">
        <v>35</v>
      </c>
      <c r="D24" t="s">
        <v>18</v>
      </c>
      <c r="E24" s="16" t="s">
        <v>74</v>
      </c>
      <c r="F24" s="16" t="s">
        <v>75</v>
      </c>
      <c r="G24" t="s">
        <v>12</v>
      </c>
      <c r="H24" t="str">
        <f t="shared" si="0"/>
        <v>Evening</v>
      </c>
      <c r="S24" t="s">
        <v>253</v>
      </c>
      <c r="T24" s="5">
        <v>0.33958333333333335</v>
      </c>
    </row>
    <row r="25" spans="1:20">
      <c r="A25" t="s">
        <v>78</v>
      </c>
      <c r="B25" s="23">
        <v>46136</v>
      </c>
      <c r="C25" t="s">
        <v>35</v>
      </c>
      <c r="D25" t="s">
        <v>9</v>
      </c>
      <c r="E25" s="16" t="s">
        <v>40</v>
      </c>
      <c r="F25" s="16" t="s">
        <v>40</v>
      </c>
      <c r="G25" t="s">
        <v>41</v>
      </c>
      <c r="H25" t="str">
        <f t="shared" si="0"/>
        <v>Morning</v>
      </c>
    </row>
    <row r="26" spans="1:20">
      <c r="A26" t="s">
        <v>79</v>
      </c>
      <c r="B26" s="23">
        <v>45697</v>
      </c>
      <c r="C26" t="s">
        <v>35</v>
      </c>
      <c r="D26" t="s">
        <v>9</v>
      </c>
      <c r="E26" s="16" t="s">
        <v>54</v>
      </c>
      <c r="F26" s="16" t="s">
        <v>32</v>
      </c>
      <c r="G26" t="s">
        <v>12</v>
      </c>
      <c r="H26" t="str">
        <f t="shared" si="0"/>
        <v>Morning</v>
      </c>
    </row>
    <row r="27" spans="1:20">
      <c r="A27" t="s">
        <v>51</v>
      </c>
      <c r="B27" s="23">
        <v>46014</v>
      </c>
      <c r="C27" t="s">
        <v>14</v>
      </c>
      <c r="D27" t="s">
        <v>18</v>
      </c>
      <c r="E27" s="16">
        <v>0.58680555555555558</v>
      </c>
      <c r="F27" s="16" t="s">
        <v>20</v>
      </c>
      <c r="G27" t="s">
        <v>12</v>
      </c>
      <c r="H27" t="str">
        <f t="shared" si="0"/>
        <v>Evening</v>
      </c>
    </row>
    <row r="28" spans="1:20">
      <c r="A28" t="s">
        <v>13</v>
      </c>
      <c r="B28" s="23">
        <v>46228</v>
      </c>
      <c r="C28" t="s">
        <v>14</v>
      </c>
      <c r="D28" t="s">
        <v>9</v>
      </c>
      <c r="E28" s="16" t="s">
        <v>50</v>
      </c>
      <c r="F28" s="16">
        <v>0.71319444444444446</v>
      </c>
      <c r="G28" t="s">
        <v>12</v>
      </c>
      <c r="H28" t="str">
        <f t="shared" si="0"/>
        <v>Morning</v>
      </c>
      <c r="S28" s="4"/>
    </row>
    <row r="29" spans="1:20">
      <c r="A29" t="s">
        <v>80</v>
      </c>
      <c r="B29" s="23">
        <v>45955</v>
      </c>
      <c r="C29" t="s">
        <v>8</v>
      </c>
      <c r="D29" t="s">
        <v>18</v>
      </c>
      <c r="E29" s="16" t="s">
        <v>54</v>
      </c>
      <c r="F29" s="16" t="s">
        <v>69</v>
      </c>
      <c r="G29" t="s">
        <v>12</v>
      </c>
      <c r="H29" t="str">
        <f t="shared" si="0"/>
        <v>Morning</v>
      </c>
      <c r="S29" s="4"/>
    </row>
    <row r="30" spans="1:20">
      <c r="A30" t="s">
        <v>81</v>
      </c>
      <c r="B30" s="23">
        <v>46130</v>
      </c>
      <c r="C30" t="s">
        <v>26</v>
      </c>
      <c r="D30" t="s">
        <v>9</v>
      </c>
      <c r="E30" s="16" t="s">
        <v>82</v>
      </c>
      <c r="F30" s="16" t="s">
        <v>16</v>
      </c>
      <c r="G30" t="s">
        <v>33</v>
      </c>
      <c r="H30" t="str">
        <f t="shared" si="0"/>
        <v>Evening</v>
      </c>
    </row>
    <row r="31" spans="1:20">
      <c r="A31" t="s">
        <v>83</v>
      </c>
      <c r="B31" s="23">
        <v>46111</v>
      </c>
      <c r="C31" t="s">
        <v>30</v>
      </c>
      <c r="D31" t="s">
        <v>9</v>
      </c>
      <c r="E31" s="16" t="s">
        <v>66</v>
      </c>
      <c r="F31" s="16" t="s">
        <v>20</v>
      </c>
      <c r="G31" t="s">
        <v>12</v>
      </c>
      <c r="H31" t="str">
        <f t="shared" si="0"/>
        <v>Morning</v>
      </c>
    </row>
    <row r="32" spans="1:20">
      <c r="A32" t="s">
        <v>85</v>
      </c>
      <c r="B32" s="23">
        <v>46167</v>
      </c>
      <c r="C32" t="s">
        <v>26</v>
      </c>
      <c r="D32" t="s">
        <v>9</v>
      </c>
      <c r="E32" s="16" t="s">
        <v>54</v>
      </c>
      <c r="F32" s="16" t="s">
        <v>86</v>
      </c>
      <c r="G32" t="s">
        <v>12</v>
      </c>
      <c r="H32" t="str">
        <f t="shared" si="0"/>
        <v>Morning</v>
      </c>
    </row>
    <row r="33" spans="1:20">
      <c r="A33" t="s">
        <v>87</v>
      </c>
      <c r="B33" s="23">
        <v>45939</v>
      </c>
      <c r="C33" t="s">
        <v>14</v>
      </c>
      <c r="D33" t="s">
        <v>9</v>
      </c>
      <c r="E33" s="16" t="s">
        <v>10</v>
      </c>
      <c r="F33" s="16" t="s">
        <v>88</v>
      </c>
      <c r="G33" t="s">
        <v>12</v>
      </c>
      <c r="H33" t="str">
        <f t="shared" si="0"/>
        <v>Evening</v>
      </c>
    </row>
    <row r="34" spans="1:20">
      <c r="A34" t="s">
        <v>89</v>
      </c>
      <c r="B34" s="23">
        <v>45869</v>
      </c>
      <c r="C34" t="s">
        <v>30</v>
      </c>
      <c r="D34" t="s">
        <v>9</v>
      </c>
      <c r="E34" s="16" t="s">
        <v>90</v>
      </c>
      <c r="F34" s="16" t="s">
        <v>91</v>
      </c>
      <c r="G34" t="s">
        <v>21</v>
      </c>
      <c r="H34" t="str">
        <f t="shared" si="0"/>
        <v>Evening</v>
      </c>
    </row>
    <row r="35" spans="1:20">
      <c r="A35" t="s">
        <v>92</v>
      </c>
      <c r="B35" s="23">
        <v>46026</v>
      </c>
      <c r="C35" t="s">
        <v>8</v>
      </c>
      <c r="D35" t="s">
        <v>18</v>
      </c>
      <c r="E35" s="16" t="s">
        <v>58</v>
      </c>
      <c r="F35" s="16" t="s">
        <v>44</v>
      </c>
      <c r="G35" t="s">
        <v>12</v>
      </c>
      <c r="H35" t="str">
        <f t="shared" si="0"/>
        <v>Morning</v>
      </c>
      <c r="S35" t="s">
        <v>254</v>
      </c>
      <c r="T35" s="5" t="s">
        <v>44</v>
      </c>
    </row>
    <row r="36" spans="1:20">
      <c r="A36" t="s">
        <v>93</v>
      </c>
      <c r="B36" s="23">
        <v>45918</v>
      </c>
      <c r="C36" t="s">
        <v>8</v>
      </c>
      <c r="D36" t="s">
        <v>18</v>
      </c>
      <c r="E36" s="16" t="s">
        <v>31</v>
      </c>
      <c r="F36" s="16" t="s">
        <v>94</v>
      </c>
      <c r="G36" t="s">
        <v>33</v>
      </c>
      <c r="H36" t="str">
        <f t="shared" si="0"/>
        <v>Morning</v>
      </c>
      <c r="S36" t="s">
        <v>255</v>
      </c>
      <c r="T36" s="6">
        <v>0.9291666666666667</v>
      </c>
    </row>
    <row r="37" spans="1:20">
      <c r="A37" t="s">
        <v>95</v>
      </c>
      <c r="B37" s="23">
        <v>45876</v>
      </c>
      <c r="C37" t="s">
        <v>23</v>
      </c>
      <c r="D37" t="s">
        <v>9</v>
      </c>
      <c r="E37" s="16" t="s">
        <v>97</v>
      </c>
      <c r="F37" s="16" t="s">
        <v>98</v>
      </c>
      <c r="G37" t="s">
        <v>12</v>
      </c>
      <c r="H37" t="str">
        <f t="shared" si="0"/>
        <v>Evening</v>
      </c>
    </row>
    <row r="38" spans="1:20">
      <c r="A38" t="s">
        <v>17</v>
      </c>
      <c r="B38" s="23">
        <v>45762</v>
      </c>
      <c r="C38" t="s">
        <v>8</v>
      </c>
      <c r="D38" t="s">
        <v>9</v>
      </c>
      <c r="E38" s="16" t="s">
        <v>99</v>
      </c>
      <c r="F38" s="16" t="s">
        <v>100</v>
      </c>
      <c r="G38" t="s">
        <v>12</v>
      </c>
      <c r="H38" t="str">
        <f t="shared" si="0"/>
        <v>Evening</v>
      </c>
    </row>
    <row r="39" spans="1:20">
      <c r="A39" t="s">
        <v>85</v>
      </c>
      <c r="B39" s="23">
        <v>46184</v>
      </c>
      <c r="C39" t="s">
        <v>35</v>
      </c>
      <c r="D39" t="s">
        <v>9</v>
      </c>
      <c r="E39" s="16" t="s">
        <v>101</v>
      </c>
      <c r="F39" s="16" t="s">
        <v>102</v>
      </c>
      <c r="G39" t="s">
        <v>12</v>
      </c>
      <c r="H39" t="str">
        <f t="shared" si="0"/>
        <v>Evening</v>
      </c>
    </row>
    <row r="40" spans="1:20">
      <c r="A40" t="s">
        <v>103</v>
      </c>
      <c r="B40" s="23">
        <v>45900</v>
      </c>
      <c r="C40" t="s">
        <v>30</v>
      </c>
      <c r="D40" t="s">
        <v>9</v>
      </c>
      <c r="E40" s="16" t="s">
        <v>43</v>
      </c>
      <c r="F40" s="16" t="s">
        <v>104</v>
      </c>
      <c r="G40" t="s">
        <v>12</v>
      </c>
      <c r="H40" t="str">
        <f t="shared" si="0"/>
        <v>Morning</v>
      </c>
    </row>
    <row r="41" spans="1:20">
      <c r="A41" t="s">
        <v>105</v>
      </c>
      <c r="B41" s="23">
        <v>46122</v>
      </c>
      <c r="C41" t="s">
        <v>30</v>
      </c>
      <c r="D41" t="s">
        <v>9</v>
      </c>
      <c r="E41" s="16" t="s">
        <v>66</v>
      </c>
      <c r="F41" s="16" t="s">
        <v>28</v>
      </c>
      <c r="G41" t="s">
        <v>12</v>
      </c>
      <c r="H41" t="str">
        <f t="shared" si="0"/>
        <v>Morning</v>
      </c>
    </row>
    <row r="42" spans="1:20">
      <c r="A42" t="s">
        <v>106</v>
      </c>
      <c r="B42" s="23">
        <v>45898</v>
      </c>
      <c r="C42" t="s">
        <v>26</v>
      </c>
      <c r="D42" t="s">
        <v>9</v>
      </c>
      <c r="E42" s="16" t="s">
        <v>82</v>
      </c>
      <c r="F42" s="16" t="s">
        <v>107</v>
      </c>
      <c r="G42" t="s">
        <v>12</v>
      </c>
      <c r="H42" t="str">
        <f t="shared" si="0"/>
        <v>Evening</v>
      </c>
    </row>
    <row r="43" spans="1:20">
      <c r="A43" t="s">
        <v>51</v>
      </c>
      <c r="B43" s="23">
        <v>45706</v>
      </c>
      <c r="C43" t="s">
        <v>30</v>
      </c>
      <c r="D43" t="s">
        <v>9</v>
      </c>
      <c r="E43" s="16" t="s">
        <v>97</v>
      </c>
      <c r="F43" s="16" t="s">
        <v>108</v>
      </c>
      <c r="G43" t="s">
        <v>33</v>
      </c>
      <c r="H43" t="str">
        <f t="shared" si="0"/>
        <v>Evening</v>
      </c>
    </row>
    <row r="44" spans="1:20">
      <c r="A44" t="s">
        <v>109</v>
      </c>
      <c r="B44" s="23">
        <v>45751</v>
      </c>
      <c r="C44" t="s">
        <v>35</v>
      </c>
      <c r="D44" t="s">
        <v>9</v>
      </c>
      <c r="E44" s="16" t="s">
        <v>40</v>
      </c>
      <c r="F44" s="16" t="s">
        <v>40</v>
      </c>
      <c r="G44" t="s">
        <v>41</v>
      </c>
      <c r="H44" t="str">
        <f t="shared" si="0"/>
        <v>Morning</v>
      </c>
    </row>
    <row r="45" spans="1:20">
      <c r="A45" t="s">
        <v>110</v>
      </c>
      <c r="B45" s="23">
        <v>45748</v>
      </c>
      <c r="C45" t="s">
        <v>35</v>
      </c>
      <c r="D45" t="s">
        <v>9</v>
      </c>
      <c r="E45" s="16" t="s">
        <v>111</v>
      </c>
      <c r="F45" s="16">
        <v>0.71319444444444446</v>
      </c>
      <c r="G45" t="s">
        <v>12</v>
      </c>
      <c r="H45" t="str">
        <f t="shared" si="0"/>
        <v>Morning</v>
      </c>
    </row>
    <row r="46" spans="1:20">
      <c r="A46" t="s">
        <v>112</v>
      </c>
      <c r="B46" s="23">
        <v>46185</v>
      </c>
      <c r="C46" t="s">
        <v>35</v>
      </c>
      <c r="D46" t="s">
        <v>18</v>
      </c>
      <c r="E46" s="16">
        <v>0.58680555555555558</v>
      </c>
      <c r="F46" s="16" t="s">
        <v>55</v>
      </c>
      <c r="G46" t="s">
        <v>12</v>
      </c>
      <c r="H46" t="str">
        <f t="shared" si="0"/>
        <v>Evening</v>
      </c>
      <c r="S46">
        <f>MEDIAN(IF(($H$2:$H$262="Morning")*($F$2:$F$262&lt;&gt;"-"),TIMEVALUE($F$2:$F$262)))</f>
        <v>0</v>
      </c>
    </row>
    <row r="47" spans="1:20">
      <c r="A47" t="s">
        <v>78</v>
      </c>
      <c r="B47" s="23">
        <v>45874</v>
      </c>
      <c r="C47" t="s">
        <v>30</v>
      </c>
      <c r="D47" t="s">
        <v>18</v>
      </c>
      <c r="E47" s="16" t="s">
        <v>40</v>
      </c>
      <c r="F47" s="16" t="s">
        <v>40</v>
      </c>
      <c r="G47" t="s">
        <v>41</v>
      </c>
      <c r="H47" t="str">
        <f t="shared" si="0"/>
        <v>Evening</v>
      </c>
    </row>
    <row r="48" spans="1:20">
      <c r="A48" t="s">
        <v>113</v>
      </c>
      <c r="B48" s="23">
        <v>45870</v>
      </c>
      <c r="C48" t="s">
        <v>23</v>
      </c>
      <c r="D48" t="s">
        <v>9</v>
      </c>
      <c r="E48" s="16" t="s">
        <v>99</v>
      </c>
      <c r="F48" s="16">
        <v>0.9291666666666667</v>
      </c>
      <c r="G48" t="s">
        <v>12</v>
      </c>
      <c r="H48" t="str">
        <f t="shared" si="0"/>
        <v>Evening</v>
      </c>
    </row>
    <row r="49" spans="1:8">
      <c r="A49" t="s">
        <v>114</v>
      </c>
      <c r="B49" s="23">
        <v>46009</v>
      </c>
      <c r="C49" t="s">
        <v>23</v>
      </c>
      <c r="D49" t="s">
        <v>9</v>
      </c>
      <c r="E49" s="16" t="s">
        <v>50</v>
      </c>
      <c r="F49" s="16" t="s">
        <v>115</v>
      </c>
      <c r="G49" t="s">
        <v>12</v>
      </c>
      <c r="H49" t="str">
        <f t="shared" si="0"/>
        <v>Morning</v>
      </c>
    </row>
    <row r="50" spans="1:8">
      <c r="A50" t="s">
        <v>76</v>
      </c>
      <c r="B50" s="23">
        <v>45804</v>
      </c>
      <c r="C50" t="s">
        <v>8</v>
      </c>
      <c r="D50" t="s">
        <v>9</v>
      </c>
      <c r="E50" s="16" t="s">
        <v>97</v>
      </c>
      <c r="F50" s="16" t="s">
        <v>116</v>
      </c>
      <c r="G50" t="s">
        <v>12</v>
      </c>
      <c r="H50" t="str">
        <f t="shared" si="0"/>
        <v>Evening</v>
      </c>
    </row>
    <row r="51" spans="1:8">
      <c r="A51" t="s">
        <v>118</v>
      </c>
      <c r="B51" s="23">
        <v>46206</v>
      </c>
      <c r="C51" t="s">
        <v>26</v>
      </c>
      <c r="D51" t="s">
        <v>9</v>
      </c>
      <c r="E51" s="16" t="s">
        <v>50</v>
      </c>
      <c r="F51" s="16" t="s">
        <v>59</v>
      </c>
      <c r="G51" t="s">
        <v>12</v>
      </c>
      <c r="H51" t="str">
        <f t="shared" si="0"/>
        <v>Morning</v>
      </c>
    </row>
    <row r="52" spans="1:8">
      <c r="A52" t="s">
        <v>119</v>
      </c>
      <c r="B52" s="23">
        <v>46229</v>
      </c>
      <c r="C52" t="s">
        <v>35</v>
      </c>
      <c r="D52" t="s">
        <v>18</v>
      </c>
      <c r="E52" s="16" t="s">
        <v>37</v>
      </c>
      <c r="F52" s="16" t="s">
        <v>86</v>
      </c>
      <c r="G52" t="s">
        <v>21</v>
      </c>
      <c r="H52" t="str">
        <f t="shared" si="0"/>
        <v>Morning</v>
      </c>
    </row>
    <row r="53" spans="1:8">
      <c r="A53" t="s">
        <v>45</v>
      </c>
      <c r="B53" s="23">
        <v>46214</v>
      </c>
      <c r="C53" t="s">
        <v>26</v>
      </c>
      <c r="D53" t="s">
        <v>18</v>
      </c>
      <c r="E53" s="16" t="s">
        <v>47</v>
      </c>
      <c r="F53" s="16" t="s">
        <v>120</v>
      </c>
      <c r="G53" t="s">
        <v>12</v>
      </c>
      <c r="H53" t="str">
        <f t="shared" si="0"/>
        <v>Morning</v>
      </c>
    </row>
    <row r="54" spans="1:8">
      <c r="A54" t="s">
        <v>89</v>
      </c>
      <c r="B54" s="23">
        <v>45673</v>
      </c>
      <c r="C54" t="s">
        <v>23</v>
      </c>
      <c r="D54" t="s">
        <v>18</v>
      </c>
      <c r="E54" s="16" t="s">
        <v>54</v>
      </c>
      <c r="F54" s="16" t="s">
        <v>24</v>
      </c>
      <c r="G54" t="s">
        <v>12</v>
      </c>
      <c r="H54" t="str">
        <f t="shared" si="0"/>
        <v>Morning</v>
      </c>
    </row>
    <row r="55" spans="1:8">
      <c r="A55" t="s">
        <v>89</v>
      </c>
      <c r="B55" s="23">
        <v>46232</v>
      </c>
      <c r="C55" t="s">
        <v>14</v>
      </c>
      <c r="D55" t="s">
        <v>9</v>
      </c>
      <c r="E55" s="16" t="s">
        <v>50</v>
      </c>
      <c r="F55" s="16" t="s">
        <v>122</v>
      </c>
      <c r="G55" t="s">
        <v>12</v>
      </c>
      <c r="H55" t="str">
        <f t="shared" si="0"/>
        <v>Morning</v>
      </c>
    </row>
    <row r="56" spans="1:8">
      <c r="A56" t="s">
        <v>103</v>
      </c>
      <c r="B56" s="23">
        <v>46026</v>
      </c>
      <c r="C56" t="s">
        <v>14</v>
      </c>
      <c r="D56" t="s">
        <v>9</v>
      </c>
      <c r="E56" s="16" t="s">
        <v>31</v>
      </c>
      <c r="F56" s="16" t="s">
        <v>120</v>
      </c>
      <c r="G56" t="s">
        <v>12</v>
      </c>
      <c r="H56" t="str">
        <f t="shared" si="0"/>
        <v>Morning</v>
      </c>
    </row>
    <row r="57" spans="1:8">
      <c r="A57" t="s">
        <v>121</v>
      </c>
      <c r="B57" s="23">
        <v>46022</v>
      </c>
      <c r="C57" t="s">
        <v>23</v>
      </c>
      <c r="D57" t="s">
        <v>18</v>
      </c>
      <c r="E57" s="16" t="s">
        <v>123</v>
      </c>
      <c r="F57" s="16" t="s">
        <v>115</v>
      </c>
      <c r="G57" t="s">
        <v>12</v>
      </c>
      <c r="H57" t="str">
        <f t="shared" si="0"/>
        <v>Morning</v>
      </c>
    </row>
    <row r="58" spans="1:8">
      <c r="A58" t="s">
        <v>79</v>
      </c>
      <c r="B58" s="23">
        <v>45722</v>
      </c>
      <c r="C58" t="s">
        <v>30</v>
      </c>
      <c r="D58" t="s">
        <v>9</v>
      </c>
      <c r="E58" s="16" t="s">
        <v>124</v>
      </c>
      <c r="F58" s="16" t="s">
        <v>59</v>
      </c>
      <c r="G58" t="s">
        <v>21</v>
      </c>
      <c r="H58" t="str">
        <f t="shared" si="0"/>
        <v>Morning</v>
      </c>
    </row>
    <row r="59" spans="1:8">
      <c r="A59" t="s">
        <v>46</v>
      </c>
      <c r="B59" s="23">
        <v>45953</v>
      </c>
      <c r="C59" t="s">
        <v>8</v>
      </c>
      <c r="D59" t="s">
        <v>9</v>
      </c>
      <c r="E59" s="16" t="s">
        <v>43</v>
      </c>
      <c r="F59" s="16" t="s">
        <v>122</v>
      </c>
      <c r="G59" t="s">
        <v>33</v>
      </c>
      <c r="H59" t="str">
        <f t="shared" si="0"/>
        <v>Morning</v>
      </c>
    </row>
    <row r="60" spans="1:8">
      <c r="A60" t="s">
        <v>113</v>
      </c>
      <c r="B60" s="23">
        <v>46095</v>
      </c>
      <c r="C60" t="s">
        <v>23</v>
      </c>
      <c r="D60" t="s">
        <v>18</v>
      </c>
      <c r="E60" s="16" t="s">
        <v>125</v>
      </c>
      <c r="F60" s="16" t="s">
        <v>126</v>
      </c>
      <c r="G60" t="s">
        <v>21</v>
      </c>
      <c r="H60" t="str">
        <f t="shared" si="0"/>
        <v>Evening</v>
      </c>
    </row>
    <row r="61" spans="1:8">
      <c r="A61" t="s">
        <v>127</v>
      </c>
      <c r="B61" s="23">
        <v>45716</v>
      </c>
      <c r="C61" t="s">
        <v>30</v>
      </c>
      <c r="D61" t="s">
        <v>9</v>
      </c>
      <c r="E61" s="16" t="s">
        <v>82</v>
      </c>
      <c r="F61" s="16" t="s">
        <v>128</v>
      </c>
      <c r="G61" t="s">
        <v>12</v>
      </c>
      <c r="H61" t="str">
        <f t="shared" si="0"/>
        <v>Evening</v>
      </c>
    </row>
    <row r="62" spans="1:8">
      <c r="A62" t="s">
        <v>49</v>
      </c>
      <c r="B62" s="23">
        <v>45780</v>
      </c>
      <c r="C62" t="s">
        <v>26</v>
      </c>
      <c r="D62" t="s">
        <v>9</v>
      </c>
      <c r="E62" s="16" t="s">
        <v>50</v>
      </c>
      <c r="F62" s="16" t="s">
        <v>44</v>
      </c>
      <c r="G62" t="s">
        <v>12</v>
      </c>
      <c r="H62" t="str">
        <f t="shared" si="0"/>
        <v>Morning</v>
      </c>
    </row>
    <row r="63" spans="1:8">
      <c r="A63" t="s">
        <v>129</v>
      </c>
      <c r="B63" s="23">
        <v>46070</v>
      </c>
      <c r="C63" t="s">
        <v>26</v>
      </c>
      <c r="D63" t="s">
        <v>9</v>
      </c>
      <c r="E63" s="16" t="s">
        <v>99</v>
      </c>
      <c r="F63" s="16" t="s">
        <v>11</v>
      </c>
      <c r="G63" t="s">
        <v>12</v>
      </c>
      <c r="H63" t="str">
        <f t="shared" si="0"/>
        <v>Evening</v>
      </c>
    </row>
    <row r="64" spans="1:8">
      <c r="A64" t="s">
        <v>81</v>
      </c>
      <c r="B64" s="23">
        <v>46057</v>
      </c>
      <c r="C64" t="s">
        <v>23</v>
      </c>
      <c r="D64" t="s">
        <v>18</v>
      </c>
      <c r="E64" s="16">
        <v>0.58680555555555558</v>
      </c>
      <c r="F64" s="16" t="s">
        <v>44</v>
      </c>
      <c r="G64" t="s">
        <v>21</v>
      </c>
      <c r="H64" t="str">
        <f t="shared" si="0"/>
        <v>Evening</v>
      </c>
    </row>
    <row r="65" spans="1:8">
      <c r="A65" t="s">
        <v>130</v>
      </c>
      <c r="B65" s="23">
        <v>45826</v>
      </c>
      <c r="C65" t="s">
        <v>8</v>
      </c>
      <c r="D65" t="s">
        <v>9</v>
      </c>
      <c r="E65" s="16" t="s">
        <v>47</v>
      </c>
      <c r="F65" s="16">
        <v>0.71319444444444446</v>
      </c>
      <c r="G65" t="s">
        <v>12</v>
      </c>
      <c r="H65" t="str">
        <f t="shared" si="0"/>
        <v>Morning</v>
      </c>
    </row>
    <row r="66" spans="1:8">
      <c r="A66" t="s">
        <v>131</v>
      </c>
      <c r="B66" s="23">
        <v>45789</v>
      </c>
      <c r="C66" t="s">
        <v>23</v>
      </c>
      <c r="D66" t="s">
        <v>9</v>
      </c>
      <c r="E66" s="16" t="s">
        <v>66</v>
      </c>
      <c r="F66" s="16" t="s">
        <v>32</v>
      </c>
      <c r="G66" t="s">
        <v>12</v>
      </c>
      <c r="H66" t="str">
        <f t="shared" ref="H66:H129" si="1">IFERROR(IF(TIMEVALUE(E66)&lt;TIME(12,0,0),"Morning","Evening"),D66)</f>
        <v>Morning</v>
      </c>
    </row>
    <row r="67" spans="1:8">
      <c r="A67" t="s">
        <v>132</v>
      </c>
      <c r="B67" s="23">
        <v>45677</v>
      </c>
      <c r="C67" t="s">
        <v>23</v>
      </c>
      <c r="D67" t="s">
        <v>18</v>
      </c>
      <c r="E67" s="16" t="s">
        <v>66</v>
      </c>
      <c r="F67" s="16" t="s">
        <v>133</v>
      </c>
      <c r="G67" t="s">
        <v>12</v>
      </c>
      <c r="H67" t="str">
        <f t="shared" si="1"/>
        <v>Morning</v>
      </c>
    </row>
    <row r="68" spans="1:8">
      <c r="A68" t="s">
        <v>134</v>
      </c>
      <c r="B68" s="23">
        <v>45995</v>
      </c>
      <c r="C68" t="s">
        <v>35</v>
      </c>
      <c r="D68" t="s">
        <v>9</v>
      </c>
      <c r="E68" s="16" t="s">
        <v>43</v>
      </c>
      <c r="F68" s="16">
        <v>0.71319444444444446</v>
      </c>
      <c r="G68" t="s">
        <v>12</v>
      </c>
      <c r="H68" t="str">
        <f t="shared" si="1"/>
        <v>Morning</v>
      </c>
    </row>
    <row r="69" spans="1:8">
      <c r="A69" t="s">
        <v>84</v>
      </c>
      <c r="B69" s="23">
        <v>46158</v>
      </c>
      <c r="C69" t="s">
        <v>23</v>
      </c>
      <c r="D69" t="s">
        <v>9</v>
      </c>
      <c r="E69" s="16" t="s">
        <v>135</v>
      </c>
      <c r="F69" s="16" t="s">
        <v>136</v>
      </c>
      <c r="G69" t="s">
        <v>12</v>
      </c>
      <c r="H69" t="str">
        <f t="shared" si="1"/>
        <v>Evening</v>
      </c>
    </row>
    <row r="70" spans="1:8">
      <c r="A70" t="s">
        <v>29</v>
      </c>
      <c r="B70" s="23">
        <v>46097</v>
      </c>
      <c r="C70" t="s">
        <v>23</v>
      </c>
      <c r="D70" t="s">
        <v>18</v>
      </c>
      <c r="E70" s="16" t="s">
        <v>138</v>
      </c>
      <c r="F70" s="16" t="s">
        <v>16</v>
      </c>
      <c r="G70" t="s">
        <v>21</v>
      </c>
      <c r="H70" t="str">
        <f t="shared" si="1"/>
        <v>Evening</v>
      </c>
    </row>
    <row r="71" spans="1:8">
      <c r="A71" t="s">
        <v>141</v>
      </c>
      <c r="B71" s="23">
        <v>46169</v>
      </c>
      <c r="C71" t="s">
        <v>35</v>
      </c>
      <c r="D71" t="s">
        <v>9</v>
      </c>
      <c r="E71" s="16" t="s">
        <v>101</v>
      </c>
      <c r="F71" s="16" t="s">
        <v>142</v>
      </c>
      <c r="G71" t="s">
        <v>12</v>
      </c>
      <c r="H71" t="str">
        <f t="shared" si="1"/>
        <v>Evening</v>
      </c>
    </row>
    <row r="72" spans="1:8">
      <c r="A72" t="s">
        <v>62</v>
      </c>
      <c r="B72" s="23">
        <v>46155</v>
      </c>
      <c r="C72" t="s">
        <v>26</v>
      </c>
      <c r="D72" t="s">
        <v>9</v>
      </c>
      <c r="E72" s="16" t="s">
        <v>43</v>
      </c>
      <c r="F72" s="16" t="s">
        <v>143</v>
      </c>
      <c r="G72" t="s">
        <v>12</v>
      </c>
      <c r="H72" t="str">
        <f t="shared" si="1"/>
        <v>Morning</v>
      </c>
    </row>
    <row r="73" spans="1:8">
      <c r="A73" t="s">
        <v>62</v>
      </c>
      <c r="B73" s="23">
        <v>45760</v>
      </c>
      <c r="C73" t="s">
        <v>23</v>
      </c>
      <c r="D73" t="s">
        <v>9</v>
      </c>
      <c r="E73" s="16" t="s">
        <v>50</v>
      </c>
      <c r="F73" s="16" t="s">
        <v>72</v>
      </c>
      <c r="G73" t="s">
        <v>33</v>
      </c>
      <c r="H73" t="str">
        <f t="shared" si="1"/>
        <v>Morning</v>
      </c>
    </row>
    <row r="74" spans="1:8">
      <c r="A74" t="s">
        <v>13</v>
      </c>
      <c r="B74" s="23">
        <v>45771</v>
      </c>
      <c r="C74" t="s">
        <v>30</v>
      </c>
      <c r="D74" t="s">
        <v>9</v>
      </c>
      <c r="E74" s="16">
        <v>0.33958333333333335</v>
      </c>
      <c r="F74" s="16" t="s">
        <v>128</v>
      </c>
      <c r="G74" t="s">
        <v>21</v>
      </c>
      <c r="H74" t="str">
        <f t="shared" si="1"/>
        <v>Morning</v>
      </c>
    </row>
    <row r="75" spans="1:8">
      <c r="A75" t="s">
        <v>57</v>
      </c>
      <c r="B75" s="23">
        <v>46181</v>
      </c>
      <c r="C75" t="s">
        <v>14</v>
      </c>
      <c r="D75" t="s">
        <v>9</v>
      </c>
      <c r="E75" s="16" t="s">
        <v>50</v>
      </c>
      <c r="F75" s="16" t="s">
        <v>59</v>
      </c>
      <c r="G75" t="s">
        <v>12</v>
      </c>
      <c r="H75" t="str">
        <f t="shared" si="1"/>
        <v>Morning</v>
      </c>
    </row>
    <row r="76" spans="1:8">
      <c r="A76" t="s">
        <v>42</v>
      </c>
      <c r="B76" s="23">
        <v>45733</v>
      </c>
      <c r="C76" t="s">
        <v>23</v>
      </c>
      <c r="D76" t="s">
        <v>9</v>
      </c>
      <c r="E76" s="16" t="s">
        <v>50</v>
      </c>
      <c r="F76" s="16" t="s">
        <v>94</v>
      </c>
      <c r="G76" t="s">
        <v>12</v>
      </c>
      <c r="H76" t="str">
        <f t="shared" si="1"/>
        <v>Morning</v>
      </c>
    </row>
    <row r="77" spans="1:8">
      <c r="A77" t="s">
        <v>106</v>
      </c>
      <c r="B77" s="23">
        <v>45944</v>
      </c>
      <c r="C77" t="s">
        <v>26</v>
      </c>
      <c r="D77" t="s">
        <v>9</v>
      </c>
      <c r="E77" s="16" t="s">
        <v>47</v>
      </c>
      <c r="F77" s="16" t="s">
        <v>146</v>
      </c>
      <c r="G77" t="s">
        <v>12</v>
      </c>
      <c r="H77" t="str">
        <f t="shared" si="1"/>
        <v>Morning</v>
      </c>
    </row>
    <row r="78" spans="1:8">
      <c r="A78" t="s">
        <v>13</v>
      </c>
      <c r="B78" s="23">
        <v>46071</v>
      </c>
      <c r="C78" t="s">
        <v>26</v>
      </c>
      <c r="D78" t="s">
        <v>9</v>
      </c>
      <c r="E78" s="16" t="s">
        <v>58</v>
      </c>
      <c r="F78" s="16" t="s">
        <v>20</v>
      </c>
      <c r="G78" t="s">
        <v>12</v>
      </c>
      <c r="H78" t="str">
        <f t="shared" si="1"/>
        <v>Morning</v>
      </c>
    </row>
    <row r="79" spans="1:8">
      <c r="A79" t="s">
        <v>80</v>
      </c>
      <c r="B79" s="23">
        <v>45868</v>
      </c>
      <c r="C79" t="s">
        <v>26</v>
      </c>
      <c r="D79" t="s">
        <v>18</v>
      </c>
      <c r="E79" s="16" t="s">
        <v>52</v>
      </c>
      <c r="F79" s="16" t="s">
        <v>24</v>
      </c>
      <c r="G79" t="s">
        <v>33</v>
      </c>
      <c r="H79" t="str">
        <f t="shared" si="1"/>
        <v>Morning</v>
      </c>
    </row>
    <row r="80" spans="1:8">
      <c r="A80" t="s">
        <v>53</v>
      </c>
      <c r="B80" s="23">
        <v>46199</v>
      </c>
      <c r="C80" t="s">
        <v>23</v>
      </c>
      <c r="D80" t="s">
        <v>9</v>
      </c>
      <c r="E80" s="16" t="s">
        <v>135</v>
      </c>
      <c r="F80" s="16" t="s">
        <v>91</v>
      </c>
      <c r="G80" t="s">
        <v>12</v>
      </c>
      <c r="H80" t="str">
        <f t="shared" si="1"/>
        <v>Evening</v>
      </c>
    </row>
    <row r="81" spans="1:8">
      <c r="A81" t="s">
        <v>147</v>
      </c>
      <c r="B81" s="23">
        <v>45883</v>
      </c>
      <c r="C81" t="s">
        <v>26</v>
      </c>
      <c r="D81" t="s">
        <v>9</v>
      </c>
      <c r="E81" s="16" t="s">
        <v>135</v>
      </c>
      <c r="F81" s="16" t="s">
        <v>148</v>
      </c>
      <c r="G81" t="s">
        <v>12</v>
      </c>
      <c r="H81" t="str">
        <f t="shared" si="1"/>
        <v>Evening</v>
      </c>
    </row>
    <row r="82" spans="1:8">
      <c r="A82" t="s">
        <v>149</v>
      </c>
      <c r="B82" s="23">
        <v>45776</v>
      </c>
      <c r="C82" t="s">
        <v>26</v>
      </c>
      <c r="D82" t="s">
        <v>18</v>
      </c>
      <c r="E82" s="16" t="s">
        <v>31</v>
      </c>
      <c r="F82" s="16" t="s">
        <v>32</v>
      </c>
      <c r="G82" t="s">
        <v>12</v>
      </c>
      <c r="H82" t="str">
        <f t="shared" si="1"/>
        <v>Morning</v>
      </c>
    </row>
    <row r="83" spans="1:8">
      <c r="A83" t="s">
        <v>106</v>
      </c>
      <c r="B83" s="23">
        <v>46162</v>
      </c>
      <c r="C83" t="s">
        <v>23</v>
      </c>
      <c r="D83" t="s">
        <v>9</v>
      </c>
      <c r="E83" s="16" t="s">
        <v>40</v>
      </c>
      <c r="F83" s="16" t="s">
        <v>40</v>
      </c>
      <c r="G83" t="s">
        <v>41</v>
      </c>
      <c r="H83" t="str">
        <f t="shared" si="1"/>
        <v>Morning</v>
      </c>
    </row>
    <row r="84" spans="1:8">
      <c r="A84" t="s">
        <v>76</v>
      </c>
      <c r="B84" s="23">
        <v>46059</v>
      </c>
      <c r="C84" t="s">
        <v>8</v>
      </c>
      <c r="D84" t="s">
        <v>18</v>
      </c>
      <c r="E84" s="16" t="s">
        <v>31</v>
      </c>
      <c r="F84" s="16" t="s">
        <v>150</v>
      </c>
      <c r="G84" t="s">
        <v>12</v>
      </c>
      <c r="H84" t="str">
        <f t="shared" si="1"/>
        <v>Morning</v>
      </c>
    </row>
    <row r="85" spans="1:8">
      <c r="A85" t="s">
        <v>151</v>
      </c>
      <c r="B85" s="23">
        <v>45878</v>
      </c>
      <c r="C85" t="s">
        <v>26</v>
      </c>
      <c r="D85" t="s">
        <v>9</v>
      </c>
      <c r="E85" s="16" t="s">
        <v>82</v>
      </c>
      <c r="F85" s="16" t="s">
        <v>153</v>
      </c>
      <c r="G85" t="s">
        <v>12</v>
      </c>
      <c r="H85" t="str">
        <f t="shared" si="1"/>
        <v>Evening</v>
      </c>
    </row>
    <row r="86" spans="1:8">
      <c r="A86" t="s">
        <v>53</v>
      </c>
      <c r="B86" s="23">
        <v>45748</v>
      </c>
      <c r="C86" t="s">
        <v>26</v>
      </c>
      <c r="D86" t="s">
        <v>9</v>
      </c>
      <c r="E86" s="16" t="s">
        <v>10</v>
      </c>
      <c r="F86" s="16">
        <v>0.9291666666666667</v>
      </c>
      <c r="G86" t="s">
        <v>12</v>
      </c>
      <c r="H86" t="str">
        <f t="shared" si="1"/>
        <v>Evening</v>
      </c>
    </row>
    <row r="87" spans="1:8">
      <c r="A87" t="s">
        <v>87</v>
      </c>
      <c r="B87" s="23">
        <v>45660</v>
      </c>
      <c r="C87" t="s">
        <v>35</v>
      </c>
      <c r="D87" t="s">
        <v>9</v>
      </c>
      <c r="E87" s="16" t="s">
        <v>40</v>
      </c>
      <c r="F87" s="16" t="s">
        <v>40</v>
      </c>
      <c r="G87" t="s">
        <v>41</v>
      </c>
      <c r="H87" t="str">
        <f t="shared" si="1"/>
        <v>Morning</v>
      </c>
    </row>
    <row r="88" spans="1:8">
      <c r="A88" t="s">
        <v>121</v>
      </c>
      <c r="B88" s="23">
        <v>46066</v>
      </c>
      <c r="C88" t="s">
        <v>14</v>
      </c>
      <c r="D88" t="s">
        <v>9</v>
      </c>
      <c r="E88" s="16" t="s">
        <v>99</v>
      </c>
      <c r="F88" s="16" t="s">
        <v>98</v>
      </c>
      <c r="G88" t="s">
        <v>12</v>
      </c>
      <c r="H88" t="str">
        <f t="shared" si="1"/>
        <v>Evening</v>
      </c>
    </row>
    <row r="89" spans="1:8">
      <c r="A89" t="s">
        <v>49</v>
      </c>
      <c r="B89" s="23">
        <v>45858</v>
      </c>
      <c r="C89" t="s">
        <v>23</v>
      </c>
      <c r="D89" t="s">
        <v>9</v>
      </c>
      <c r="E89" s="16" t="s">
        <v>123</v>
      </c>
      <c r="F89" s="16" t="s">
        <v>155</v>
      </c>
      <c r="G89" t="s">
        <v>12</v>
      </c>
      <c r="H89" t="str">
        <f t="shared" si="1"/>
        <v>Morning</v>
      </c>
    </row>
    <row r="90" spans="1:8">
      <c r="A90" t="s">
        <v>156</v>
      </c>
      <c r="B90" s="23">
        <v>46049</v>
      </c>
      <c r="C90" t="s">
        <v>23</v>
      </c>
      <c r="D90" t="s">
        <v>18</v>
      </c>
      <c r="E90" s="16" t="s">
        <v>157</v>
      </c>
      <c r="F90" s="16" t="s">
        <v>72</v>
      </c>
      <c r="G90" t="s">
        <v>21</v>
      </c>
      <c r="H90" t="str">
        <f t="shared" si="1"/>
        <v>Morning</v>
      </c>
    </row>
    <row r="91" spans="1:8">
      <c r="A91" t="s">
        <v>141</v>
      </c>
      <c r="B91" s="23">
        <v>46221</v>
      </c>
      <c r="C91" t="s">
        <v>14</v>
      </c>
      <c r="D91" t="s">
        <v>9</v>
      </c>
      <c r="E91" s="16" t="s">
        <v>123</v>
      </c>
      <c r="F91" s="16" t="s">
        <v>48</v>
      </c>
      <c r="G91" t="s">
        <v>12</v>
      </c>
      <c r="H91" t="str">
        <f t="shared" si="1"/>
        <v>Morning</v>
      </c>
    </row>
    <row r="92" spans="1:8">
      <c r="A92" t="s">
        <v>7</v>
      </c>
      <c r="B92" s="23">
        <v>46172</v>
      </c>
      <c r="C92" t="s">
        <v>23</v>
      </c>
      <c r="D92" t="s">
        <v>18</v>
      </c>
      <c r="E92" s="16" t="s">
        <v>47</v>
      </c>
      <c r="F92" s="16" t="s">
        <v>133</v>
      </c>
      <c r="G92" t="s">
        <v>12</v>
      </c>
      <c r="H92" t="str">
        <f t="shared" si="1"/>
        <v>Morning</v>
      </c>
    </row>
    <row r="93" spans="1:8">
      <c r="A93" t="s">
        <v>78</v>
      </c>
      <c r="B93" s="23">
        <v>46110</v>
      </c>
      <c r="C93" t="s">
        <v>23</v>
      </c>
      <c r="D93" t="s">
        <v>9</v>
      </c>
      <c r="E93" s="16">
        <v>0.33958333333333335</v>
      </c>
      <c r="F93" s="16" t="s">
        <v>150</v>
      </c>
      <c r="G93" t="s">
        <v>12</v>
      </c>
      <c r="H93" t="str">
        <f t="shared" si="1"/>
        <v>Morning</v>
      </c>
    </row>
    <row r="94" spans="1:8">
      <c r="A94" t="s">
        <v>118</v>
      </c>
      <c r="B94" s="23">
        <v>45847</v>
      </c>
      <c r="C94" t="s">
        <v>8</v>
      </c>
      <c r="D94" t="s">
        <v>18</v>
      </c>
      <c r="E94" s="16" t="s">
        <v>123</v>
      </c>
      <c r="F94" s="16" t="s">
        <v>143</v>
      </c>
      <c r="G94" t="s">
        <v>33</v>
      </c>
      <c r="H94" t="str">
        <f t="shared" si="1"/>
        <v>Morning</v>
      </c>
    </row>
    <row r="95" spans="1:8">
      <c r="A95" t="s">
        <v>71</v>
      </c>
      <c r="B95" s="23">
        <v>46152</v>
      </c>
      <c r="C95" t="s">
        <v>35</v>
      </c>
      <c r="D95" t="s">
        <v>9</v>
      </c>
      <c r="E95" s="16" t="s">
        <v>50</v>
      </c>
      <c r="F95" s="16" t="s">
        <v>117</v>
      </c>
      <c r="G95" t="s">
        <v>12</v>
      </c>
      <c r="H95" t="str">
        <f t="shared" si="1"/>
        <v>Morning</v>
      </c>
    </row>
    <row r="96" spans="1:8">
      <c r="A96" t="s">
        <v>121</v>
      </c>
      <c r="B96" s="23">
        <v>45852</v>
      </c>
      <c r="C96" t="s">
        <v>8</v>
      </c>
      <c r="D96" t="s">
        <v>9</v>
      </c>
      <c r="E96" s="16" t="s">
        <v>158</v>
      </c>
      <c r="F96" s="16" t="s">
        <v>59</v>
      </c>
      <c r="G96" t="s">
        <v>21</v>
      </c>
      <c r="H96" t="str">
        <f t="shared" si="1"/>
        <v>Morning</v>
      </c>
    </row>
    <row r="97" spans="1:8">
      <c r="A97" t="s">
        <v>114</v>
      </c>
      <c r="B97" s="23">
        <v>46227</v>
      </c>
      <c r="C97" t="s">
        <v>30</v>
      </c>
      <c r="D97" t="s">
        <v>18</v>
      </c>
      <c r="E97" s="16" t="s">
        <v>159</v>
      </c>
      <c r="F97" s="16" t="s">
        <v>75</v>
      </c>
      <c r="G97" t="s">
        <v>21</v>
      </c>
      <c r="H97" t="str">
        <f t="shared" si="1"/>
        <v>Evening</v>
      </c>
    </row>
    <row r="98" spans="1:8">
      <c r="A98" t="s">
        <v>57</v>
      </c>
      <c r="B98" s="23">
        <v>46068</v>
      </c>
      <c r="C98" t="s">
        <v>23</v>
      </c>
      <c r="D98" t="s">
        <v>18</v>
      </c>
      <c r="E98" s="16" t="s">
        <v>97</v>
      </c>
      <c r="F98" s="16" t="s">
        <v>88</v>
      </c>
      <c r="G98" t="s">
        <v>12</v>
      </c>
      <c r="H98" t="str">
        <f t="shared" si="1"/>
        <v>Evening</v>
      </c>
    </row>
    <row r="99" spans="1:8">
      <c r="A99" t="s">
        <v>160</v>
      </c>
      <c r="B99" s="23">
        <v>46154</v>
      </c>
      <c r="C99" t="s">
        <v>23</v>
      </c>
      <c r="D99" t="s">
        <v>18</v>
      </c>
      <c r="E99" s="16">
        <v>0.58680555555555558</v>
      </c>
      <c r="F99" s="16" t="s">
        <v>61</v>
      </c>
      <c r="G99" t="s">
        <v>21</v>
      </c>
      <c r="H99" t="str">
        <f t="shared" si="1"/>
        <v>Evening</v>
      </c>
    </row>
    <row r="100" spans="1:8">
      <c r="A100" t="s">
        <v>73</v>
      </c>
      <c r="B100" s="23">
        <v>46061</v>
      </c>
      <c r="C100" t="s">
        <v>30</v>
      </c>
      <c r="D100" t="s">
        <v>9</v>
      </c>
      <c r="E100" s="16" t="s">
        <v>52</v>
      </c>
      <c r="F100" s="16" t="s">
        <v>28</v>
      </c>
      <c r="G100" t="s">
        <v>12</v>
      </c>
      <c r="H100" t="str">
        <f t="shared" si="1"/>
        <v>Morning</v>
      </c>
    </row>
    <row r="101" spans="1:8">
      <c r="A101" t="s">
        <v>39</v>
      </c>
      <c r="B101" s="23">
        <v>45699</v>
      </c>
      <c r="C101" t="s">
        <v>26</v>
      </c>
      <c r="D101" t="s">
        <v>9</v>
      </c>
      <c r="E101" s="16" t="s">
        <v>47</v>
      </c>
      <c r="F101" s="16" t="s">
        <v>161</v>
      </c>
      <c r="G101" t="s">
        <v>12</v>
      </c>
      <c r="H101" t="str">
        <f t="shared" si="1"/>
        <v>Morning</v>
      </c>
    </row>
    <row r="102" spans="1:8">
      <c r="A102" t="s">
        <v>156</v>
      </c>
      <c r="B102" s="23">
        <v>46114</v>
      </c>
      <c r="C102" t="s">
        <v>26</v>
      </c>
      <c r="D102" t="s">
        <v>18</v>
      </c>
      <c r="E102" s="16" t="s">
        <v>40</v>
      </c>
      <c r="F102" s="16" t="s">
        <v>40</v>
      </c>
      <c r="G102" t="s">
        <v>41</v>
      </c>
      <c r="H102" t="str">
        <f t="shared" si="1"/>
        <v>Evening</v>
      </c>
    </row>
    <row r="103" spans="1:8">
      <c r="A103" t="s">
        <v>162</v>
      </c>
      <c r="B103" s="23">
        <v>45951</v>
      </c>
      <c r="C103" t="s">
        <v>8</v>
      </c>
      <c r="D103" t="s">
        <v>9</v>
      </c>
      <c r="E103" s="16" t="s">
        <v>40</v>
      </c>
      <c r="F103" s="16" t="s">
        <v>40</v>
      </c>
      <c r="G103" t="s">
        <v>41</v>
      </c>
      <c r="H103" t="str">
        <f t="shared" si="1"/>
        <v>Morning</v>
      </c>
    </row>
    <row r="104" spans="1:8">
      <c r="A104" t="s">
        <v>13</v>
      </c>
      <c r="B104" s="23">
        <v>46175</v>
      </c>
      <c r="C104" t="s">
        <v>23</v>
      </c>
      <c r="D104" t="s">
        <v>9</v>
      </c>
      <c r="E104" s="16" t="s">
        <v>163</v>
      </c>
      <c r="F104" s="16">
        <v>0.9291666666666667</v>
      </c>
      <c r="G104" t="s">
        <v>21</v>
      </c>
      <c r="H104" t="str">
        <f t="shared" si="1"/>
        <v>Evening</v>
      </c>
    </row>
    <row r="105" spans="1:8">
      <c r="A105" t="s">
        <v>162</v>
      </c>
      <c r="B105" s="23">
        <v>46006</v>
      </c>
      <c r="C105" t="s">
        <v>8</v>
      </c>
      <c r="D105" t="s">
        <v>9</v>
      </c>
      <c r="E105" s="16" t="s">
        <v>164</v>
      </c>
      <c r="F105" s="16" t="s">
        <v>165</v>
      </c>
      <c r="G105" t="s">
        <v>21</v>
      </c>
      <c r="H105" t="str">
        <f t="shared" si="1"/>
        <v>Evening</v>
      </c>
    </row>
    <row r="106" spans="1:8">
      <c r="A106" t="s">
        <v>112</v>
      </c>
      <c r="B106" s="23">
        <v>46051</v>
      </c>
      <c r="C106" t="s">
        <v>30</v>
      </c>
      <c r="D106" t="s">
        <v>9</v>
      </c>
      <c r="E106" s="16">
        <v>0.33958333333333335</v>
      </c>
      <c r="F106" s="16" t="s">
        <v>166</v>
      </c>
      <c r="G106" t="s">
        <v>12</v>
      </c>
      <c r="H106" t="str">
        <f t="shared" si="1"/>
        <v>Morning</v>
      </c>
    </row>
    <row r="107" spans="1:8">
      <c r="A107" t="s">
        <v>112</v>
      </c>
      <c r="B107" s="23">
        <v>45670</v>
      </c>
      <c r="C107" t="s">
        <v>23</v>
      </c>
      <c r="D107" t="s">
        <v>9</v>
      </c>
      <c r="E107" s="16" t="s">
        <v>58</v>
      </c>
      <c r="F107" s="16" t="s">
        <v>117</v>
      </c>
      <c r="G107" t="s">
        <v>12</v>
      </c>
      <c r="H107" t="str">
        <f t="shared" si="1"/>
        <v>Morning</v>
      </c>
    </row>
    <row r="108" spans="1:8">
      <c r="A108" t="s">
        <v>106</v>
      </c>
      <c r="B108" s="23">
        <v>46035</v>
      </c>
      <c r="C108" t="s">
        <v>23</v>
      </c>
      <c r="D108" t="s">
        <v>9</v>
      </c>
      <c r="E108" s="16" t="s">
        <v>10</v>
      </c>
      <c r="F108" s="16" t="s">
        <v>98</v>
      </c>
      <c r="G108" t="s">
        <v>12</v>
      </c>
      <c r="H108" t="str">
        <f t="shared" si="1"/>
        <v>Evening</v>
      </c>
    </row>
    <row r="109" spans="1:8">
      <c r="A109" t="s">
        <v>167</v>
      </c>
      <c r="B109" s="23">
        <v>45812</v>
      </c>
      <c r="C109" t="s">
        <v>35</v>
      </c>
      <c r="D109" t="s">
        <v>9</v>
      </c>
      <c r="E109" s="16" t="s">
        <v>40</v>
      </c>
      <c r="F109" s="16" t="s">
        <v>40</v>
      </c>
      <c r="G109" t="s">
        <v>41</v>
      </c>
      <c r="H109" t="str">
        <f t="shared" si="1"/>
        <v>Morning</v>
      </c>
    </row>
    <row r="110" spans="1:8">
      <c r="A110" t="s">
        <v>168</v>
      </c>
      <c r="B110" s="23">
        <v>46007</v>
      </c>
      <c r="C110" t="s">
        <v>23</v>
      </c>
      <c r="D110" t="s">
        <v>9</v>
      </c>
      <c r="E110" s="16" t="s">
        <v>52</v>
      </c>
      <c r="F110" s="16" t="s">
        <v>24</v>
      </c>
      <c r="G110" t="s">
        <v>12</v>
      </c>
      <c r="H110" t="str">
        <f t="shared" si="1"/>
        <v>Morning</v>
      </c>
    </row>
    <row r="111" spans="1:8">
      <c r="A111" t="s">
        <v>151</v>
      </c>
      <c r="B111" s="23">
        <v>46015</v>
      </c>
      <c r="C111" t="s">
        <v>14</v>
      </c>
      <c r="D111" t="s">
        <v>9</v>
      </c>
      <c r="E111" s="16" t="s">
        <v>169</v>
      </c>
      <c r="F111" s="16" t="s">
        <v>107</v>
      </c>
      <c r="G111" t="s">
        <v>12</v>
      </c>
      <c r="H111" t="str">
        <f t="shared" si="1"/>
        <v>Evening</v>
      </c>
    </row>
    <row r="112" spans="1:8">
      <c r="A112" t="s">
        <v>62</v>
      </c>
      <c r="B112" s="23">
        <v>45863</v>
      </c>
      <c r="C112" t="s">
        <v>30</v>
      </c>
      <c r="D112" t="s">
        <v>9</v>
      </c>
      <c r="E112" s="16" t="s">
        <v>171</v>
      </c>
      <c r="F112" s="16" t="s">
        <v>153</v>
      </c>
      <c r="G112" t="s">
        <v>12</v>
      </c>
      <c r="H112" t="str">
        <f t="shared" si="1"/>
        <v>Evening</v>
      </c>
    </row>
    <row r="113" spans="1:8">
      <c r="A113" t="s">
        <v>118</v>
      </c>
      <c r="B113" s="23">
        <v>46029</v>
      </c>
      <c r="C113" t="s">
        <v>26</v>
      </c>
      <c r="D113" t="s">
        <v>9</v>
      </c>
      <c r="E113" s="16" t="s">
        <v>10</v>
      </c>
      <c r="F113" s="16" t="s">
        <v>98</v>
      </c>
      <c r="G113" t="s">
        <v>12</v>
      </c>
      <c r="H113" t="str">
        <f t="shared" si="1"/>
        <v>Evening</v>
      </c>
    </row>
    <row r="114" spans="1:8">
      <c r="A114" t="s">
        <v>172</v>
      </c>
      <c r="B114" s="23">
        <v>45792</v>
      </c>
      <c r="C114" t="s">
        <v>26</v>
      </c>
      <c r="D114" t="s">
        <v>9</v>
      </c>
      <c r="E114" s="16" t="s">
        <v>97</v>
      </c>
      <c r="F114" s="16" t="s">
        <v>100</v>
      </c>
      <c r="G114" t="s">
        <v>12</v>
      </c>
      <c r="H114" t="str">
        <f t="shared" si="1"/>
        <v>Evening</v>
      </c>
    </row>
    <row r="115" spans="1:8">
      <c r="A115" t="s">
        <v>173</v>
      </c>
      <c r="B115" s="23">
        <v>46025</v>
      </c>
      <c r="C115" t="s">
        <v>23</v>
      </c>
      <c r="D115" t="s">
        <v>18</v>
      </c>
      <c r="E115" s="16" t="s">
        <v>40</v>
      </c>
      <c r="F115" s="16" t="s">
        <v>40</v>
      </c>
      <c r="G115" t="s">
        <v>41</v>
      </c>
      <c r="H115" t="str">
        <f t="shared" si="1"/>
        <v>Evening</v>
      </c>
    </row>
    <row r="116" spans="1:8">
      <c r="A116" t="s">
        <v>156</v>
      </c>
      <c r="B116" s="23">
        <v>46213</v>
      </c>
      <c r="C116" t="s">
        <v>23</v>
      </c>
      <c r="D116" t="s">
        <v>9</v>
      </c>
      <c r="E116" s="16" t="s">
        <v>40</v>
      </c>
      <c r="F116" s="16" t="s">
        <v>40</v>
      </c>
      <c r="G116" t="s">
        <v>41</v>
      </c>
      <c r="H116" t="str">
        <f t="shared" si="1"/>
        <v>Morning</v>
      </c>
    </row>
    <row r="117" spans="1:8">
      <c r="A117" t="s">
        <v>95</v>
      </c>
      <c r="B117" s="23">
        <v>46227</v>
      </c>
      <c r="C117" t="s">
        <v>30</v>
      </c>
      <c r="D117" t="s">
        <v>9</v>
      </c>
      <c r="E117" s="16" t="s">
        <v>135</v>
      </c>
      <c r="F117" s="16" t="s">
        <v>88</v>
      </c>
      <c r="G117" t="s">
        <v>12</v>
      </c>
      <c r="H117" t="str">
        <f t="shared" si="1"/>
        <v>Evening</v>
      </c>
    </row>
    <row r="118" spans="1:8">
      <c r="A118" t="s">
        <v>51</v>
      </c>
      <c r="B118" s="23">
        <v>45721</v>
      </c>
      <c r="C118" t="s">
        <v>26</v>
      </c>
      <c r="D118" t="s">
        <v>18</v>
      </c>
      <c r="E118" s="16" t="s">
        <v>174</v>
      </c>
      <c r="F118" s="16" t="s">
        <v>100</v>
      </c>
      <c r="G118" t="s">
        <v>21</v>
      </c>
      <c r="H118" t="str">
        <f t="shared" si="1"/>
        <v>Evening</v>
      </c>
    </row>
    <row r="119" spans="1:8">
      <c r="A119" t="s">
        <v>147</v>
      </c>
      <c r="B119" s="23">
        <v>45831</v>
      </c>
      <c r="C119" t="s">
        <v>26</v>
      </c>
      <c r="D119" t="s">
        <v>9</v>
      </c>
      <c r="E119" s="16" t="s">
        <v>175</v>
      </c>
      <c r="F119" s="16" t="s">
        <v>116</v>
      </c>
      <c r="G119" t="s">
        <v>21</v>
      </c>
      <c r="H119" t="str">
        <f t="shared" si="1"/>
        <v>Evening</v>
      </c>
    </row>
    <row r="120" spans="1:8">
      <c r="A120" t="s">
        <v>53</v>
      </c>
      <c r="B120" s="23">
        <v>45948</v>
      </c>
      <c r="C120" t="s">
        <v>14</v>
      </c>
      <c r="D120" t="s">
        <v>18</v>
      </c>
      <c r="E120" s="16" t="s">
        <v>74</v>
      </c>
      <c r="F120" s="16" t="s">
        <v>176</v>
      </c>
      <c r="G120" t="s">
        <v>33</v>
      </c>
      <c r="H120" t="str">
        <f t="shared" si="1"/>
        <v>Evening</v>
      </c>
    </row>
    <row r="121" spans="1:8">
      <c r="A121" t="s">
        <v>22</v>
      </c>
      <c r="B121" s="23">
        <v>45675</v>
      </c>
      <c r="C121" t="s">
        <v>30</v>
      </c>
      <c r="D121" t="s">
        <v>9</v>
      </c>
      <c r="E121" s="16" t="s">
        <v>40</v>
      </c>
      <c r="F121" s="16" t="s">
        <v>40</v>
      </c>
      <c r="G121" t="s">
        <v>41</v>
      </c>
      <c r="H121" t="str">
        <f t="shared" si="1"/>
        <v>Morning</v>
      </c>
    </row>
    <row r="122" spans="1:8">
      <c r="A122" t="s">
        <v>177</v>
      </c>
      <c r="B122" s="23">
        <v>46139</v>
      </c>
      <c r="C122" t="s">
        <v>23</v>
      </c>
      <c r="D122" t="s">
        <v>18</v>
      </c>
      <c r="E122" s="16" t="s">
        <v>101</v>
      </c>
      <c r="F122" s="16" t="s">
        <v>107</v>
      </c>
      <c r="G122" t="s">
        <v>33</v>
      </c>
      <c r="H122" t="str">
        <f t="shared" si="1"/>
        <v>Evening</v>
      </c>
    </row>
    <row r="123" spans="1:8">
      <c r="A123" t="s">
        <v>70</v>
      </c>
      <c r="B123" s="23">
        <v>46128</v>
      </c>
      <c r="C123" t="s">
        <v>23</v>
      </c>
      <c r="D123" t="s">
        <v>18</v>
      </c>
      <c r="E123" s="16" t="s">
        <v>43</v>
      </c>
      <c r="F123" s="16" t="s">
        <v>146</v>
      </c>
      <c r="G123" t="s">
        <v>12</v>
      </c>
      <c r="H123" t="str">
        <f t="shared" si="1"/>
        <v>Morning</v>
      </c>
    </row>
    <row r="124" spans="1:8">
      <c r="A124" t="s">
        <v>45</v>
      </c>
      <c r="B124" s="23">
        <v>46166</v>
      </c>
      <c r="C124" t="s">
        <v>30</v>
      </c>
      <c r="D124" t="s">
        <v>18</v>
      </c>
      <c r="E124" s="16" t="s">
        <v>99</v>
      </c>
      <c r="F124" s="16" t="s">
        <v>178</v>
      </c>
      <c r="G124" t="s">
        <v>12</v>
      </c>
      <c r="H124" t="str">
        <f t="shared" si="1"/>
        <v>Evening</v>
      </c>
    </row>
    <row r="125" spans="1:8">
      <c r="A125" t="s">
        <v>95</v>
      </c>
      <c r="B125" s="23">
        <v>45763</v>
      </c>
      <c r="C125" t="s">
        <v>23</v>
      </c>
      <c r="D125" t="s">
        <v>9</v>
      </c>
      <c r="E125" s="16" t="s">
        <v>179</v>
      </c>
      <c r="F125" s="16" t="s">
        <v>20</v>
      </c>
      <c r="G125" t="s">
        <v>21</v>
      </c>
      <c r="H125" t="str">
        <f t="shared" si="1"/>
        <v>Morning</v>
      </c>
    </row>
    <row r="126" spans="1:8">
      <c r="A126" t="s">
        <v>131</v>
      </c>
      <c r="B126" s="23">
        <v>45847</v>
      </c>
      <c r="C126" t="s">
        <v>35</v>
      </c>
      <c r="D126" t="s">
        <v>9</v>
      </c>
      <c r="E126" s="16" t="s">
        <v>97</v>
      </c>
      <c r="F126" s="16" t="s">
        <v>176</v>
      </c>
      <c r="G126" t="s">
        <v>12</v>
      </c>
      <c r="H126" t="str">
        <f t="shared" si="1"/>
        <v>Evening</v>
      </c>
    </row>
    <row r="127" spans="1:8">
      <c r="A127" t="s">
        <v>13</v>
      </c>
      <c r="B127" s="23">
        <v>45665</v>
      </c>
      <c r="C127" t="s">
        <v>30</v>
      </c>
      <c r="D127" t="s">
        <v>9</v>
      </c>
      <c r="E127" s="16" t="s">
        <v>47</v>
      </c>
      <c r="F127" s="16" t="s">
        <v>59</v>
      </c>
      <c r="G127" t="s">
        <v>12</v>
      </c>
      <c r="H127" t="str">
        <f t="shared" si="1"/>
        <v>Morning</v>
      </c>
    </row>
    <row r="128" spans="1:8">
      <c r="A128" t="s">
        <v>56</v>
      </c>
      <c r="B128" s="23">
        <v>46072</v>
      </c>
      <c r="C128" t="s">
        <v>26</v>
      </c>
      <c r="D128" t="s">
        <v>9</v>
      </c>
      <c r="E128" s="16" t="s">
        <v>50</v>
      </c>
      <c r="F128" s="16" t="s">
        <v>166</v>
      </c>
      <c r="G128" t="s">
        <v>12</v>
      </c>
      <c r="H128" t="str">
        <f t="shared" si="1"/>
        <v>Morning</v>
      </c>
    </row>
    <row r="129" spans="1:8">
      <c r="A129" t="s">
        <v>29</v>
      </c>
      <c r="B129" s="23">
        <v>45857</v>
      </c>
      <c r="C129" t="s">
        <v>30</v>
      </c>
      <c r="D129" t="s">
        <v>9</v>
      </c>
      <c r="E129" s="16" t="s">
        <v>99</v>
      </c>
      <c r="F129" s="16" t="s">
        <v>140</v>
      </c>
      <c r="G129" t="s">
        <v>12</v>
      </c>
      <c r="H129" t="str">
        <f t="shared" si="1"/>
        <v>Evening</v>
      </c>
    </row>
    <row r="130" spans="1:8">
      <c r="A130" t="s">
        <v>149</v>
      </c>
      <c r="B130" s="23">
        <v>45866</v>
      </c>
      <c r="C130" t="s">
        <v>8</v>
      </c>
      <c r="D130" t="s">
        <v>18</v>
      </c>
      <c r="E130" s="16" t="s">
        <v>111</v>
      </c>
      <c r="F130" s="16" t="s">
        <v>86</v>
      </c>
      <c r="G130" t="s">
        <v>12</v>
      </c>
      <c r="H130" t="str">
        <f t="shared" ref="H130:H193" si="2">IFERROR(IF(TIMEVALUE(E130)&lt;TIME(12,0,0),"Morning","Evening"),D130)</f>
        <v>Morning</v>
      </c>
    </row>
    <row r="131" spans="1:8">
      <c r="A131" t="s">
        <v>42</v>
      </c>
      <c r="B131" s="23">
        <v>45786</v>
      </c>
      <c r="C131" t="s">
        <v>35</v>
      </c>
      <c r="D131" t="s">
        <v>18</v>
      </c>
      <c r="E131" s="16" t="s">
        <v>43</v>
      </c>
      <c r="F131" s="16" t="s">
        <v>143</v>
      </c>
      <c r="G131" t="s">
        <v>33</v>
      </c>
      <c r="H131" t="str">
        <f t="shared" si="2"/>
        <v>Morning</v>
      </c>
    </row>
    <row r="132" spans="1:8">
      <c r="A132" t="s">
        <v>80</v>
      </c>
      <c r="B132" s="23">
        <v>45682</v>
      </c>
      <c r="C132" t="s">
        <v>35</v>
      </c>
      <c r="D132" t="s">
        <v>18</v>
      </c>
      <c r="E132" s="16" t="s">
        <v>99</v>
      </c>
      <c r="F132" s="16" t="s">
        <v>180</v>
      </c>
      <c r="G132" t="s">
        <v>12</v>
      </c>
      <c r="H132" t="str">
        <f t="shared" si="2"/>
        <v>Evening</v>
      </c>
    </row>
    <row r="133" spans="1:8">
      <c r="A133" t="s">
        <v>162</v>
      </c>
      <c r="B133" s="23">
        <v>45908</v>
      </c>
      <c r="C133" t="s">
        <v>35</v>
      </c>
      <c r="D133" t="s">
        <v>9</v>
      </c>
      <c r="E133" s="16">
        <v>0.33958333333333335</v>
      </c>
      <c r="F133" s="16" t="s">
        <v>16</v>
      </c>
      <c r="G133" t="s">
        <v>12</v>
      </c>
      <c r="H133" t="str">
        <f t="shared" si="2"/>
        <v>Morning</v>
      </c>
    </row>
    <row r="134" spans="1:8">
      <c r="A134" t="s">
        <v>68</v>
      </c>
      <c r="B134" s="23">
        <v>46197</v>
      </c>
      <c r="C134" t="s">
        <v>23</v>
      </c>
      <c r="D134" t="s">
        <v>9</v>
      </c>
      <c r="E134" s="16" t="s">
        <v>181</v>
      </c>
      <c r="F134" s="16" t="s">
        <v>161</v>
      </c>
      <c r="G134" t="s">
        <v>21</v>
      </c>
      <c r="H134" t="str">
        <f t="shared" si="2"/>
        <v>Morning</v>
      </c>
    </row>
    <row r="135" spans="1:8">
      <c r="A135" t="s">
        <v>105</v>
      </c>
      <c r="B135" s="23">
        <v>45727</v>
      </c>
      <c r="C135" t="s">
        <v>26</v>
      </c>
      <c r="D135" t="s">
        <v>9</v>
      </c>
      <c r="E135" s="16" t="s">
        <v>144</v>
      </c>
      <c r="F135" s="16" t="s">
        <v>140</v>
      </c>
      <c r="G135" t="s">
        <v>12</v>
      </c>
      <c r="H135" t="str">
        <f t="shared" si="2"/>
        <v>Evening</v>
      </c>
    </row>
    <row r="136" spans="1:8">
      <c r="A136" t="s">
        <v>83</v>
      </c>
      <c r="B136" s="23">
        <v>45736</v>
      </c>
      <c r="C136" t="s">
        <v>30</v>
      </c>
      <c r="D136" t="s">
        <v>18</v>
      </c>
      <c r="E136" s="16" t="s">
        <v>10</v>
      </c>
      <c r="F136" s="16" t="s">
        <v>182</v>
      </c>
      <c r="G136" t="s">
        <v>12</v>
      </c>
      <c r="H136" t="str">
        <f t="shared" si="2"/>
        <v>Evening</v>
      </c>
    </row>
    <row r="137" spans="1:8">
      <c r="A137" t="s">
        <v>183</v>
      </c>
      <c r="B137" s="23">
        <v>45790</v>
      </c>
      <c r="C137" t="s">
        <v>35</v>
      </c>
      <c r="D137" t="s">
        <v>18</v>
      </c>
      <c r="E137" s="16" t="s">
        <v>99</v>
      </c>
      <c r="F137" s="16" t="s">
        <v>108</v>
      </c>
      <c r="G137" t="s">
        <v>12</v>
      </c>
      <c r="H137" t="str">
        <f t="shared" si="2"/>
        <v>Evening</v>
      </c>
    </row>
    <row r="138" spans="1:8">
      <c r="A138" t="s">
        <v>109</v>
      </c>
      <c r="B138" s="23">
        <v>46202</v>
      </c>
      <c r="C138" t="s">
        <v>26</v>
      </c>
      <c r="D138" t="s">
        <v>9</v>
      </c>
      <c r="E138" s="16" t="s">
        <v>31</v>
      </c>
      <c r="F138" s="16" t="s">
        <v>69</v>
      </c>
      <c r="G138" t="s">
        <v>12</v>
      </c>
      <c r="H138" t="str">
        <f t="shared" si="2"/>
        <v>Morning</v>
      </c>
    </row>
    <row r="139" spans="1:8">
      <c r="A139" t="s">
        <v>57</v>
      </c>
      <c r="B139" s="23">
        <v>45715</v>
      </c>
      <c r="C139" t="s">
        <v>35</v>
      </c>
      <c r="D139" t="s">
        <v>18</v>
      </c>
      <c r="E139" s="16" t="s">
        <v>54</v>
      </c>
      <c r="F139" s="16" t="s">
        <v>117</v>
      </c>
      <c r="G139" t="s">
        <v>12</v>
      </c>
      <c r="H139" t="str">
        <f t="shared" si="2"/>
        <v>Morning</v>
      </c>
    </row>
    <row r="140" spans="1:8">
      <c r="A140" t="s">
        <v>141</v>
      </c>
      <c r="B140" s="23">
        <v>46183</v>
      </c>
      <c r="C140" t="s">
        <v>14</v>
      </c>
      <c r="D140" t="s">
        <v>18</v>
      </c>
      <c r="E140" s="16" t="s">
        <v>135</v>
      </c>
      <c r="F140" s="16" t="s">
        <v>176</v>
      </c>
      <c r="G140" t="s">
        <v>12</v>
      </c>
      <c r="H140" t="str">
        <f t="shared" si="2"/>
        <v>Evening</v>
      </c>
    </row>
    <row r="141" spans="1:8">
      <c r="A141" t="s">
        <v>49</v>
      </c>
      <c r="B141" s="23">
        <v>45720</v>
      </c>
      <c r="C141" t="s">
        <v>30</v>
      </c>
      <c r="D141" t="s">
        <v>9</v>
      </c>
      <c r="E141" s="16" t="s">
        <v>10</v>
      </c>
      <c r="F141" s="16" t="s">
        <v>184</v>
      </c>
      <c r="G141" t="s">
        <v>12</v>
      </c>
      <c r="H141" t="str">
        <f t="shared" si="2"/>
        <v>Evening</v>
      </c>
    </row>
    <row r="142" spans="1:8">
      <c r="A142" t="s">
        <v>156</v>
      </c>
      <c r="B142" s="23">
        <v>46200</v>
      </c>
      <c r="C142" t="s">
        <v>30</v>
      </c>
      <c r="D142" t="s">
        <v>9</v>
      </c>
      <c r="E142" s="16" t="s">
        <v>185</v>
      </c>
      <c r="F142" s="16" t="s">
        <v>186</v>
      </c>
      <c r="G142" t="s">
        <v>21</v>
      </c>
      <c r="H142" t="str">
        <f t="shared" si="2"/>
        <v>Morning</v>
      </c>
    </row>
    <row r="143" spans="1:8">
      <c r="A143" t="s">
        <v>187</v>
      </c>
      <c r="B143" s="23">
        <v>46150</v>
      </c>
      <c r="C143" t="s">
        <v>26</v>
      </c>
      <c r="D143" t="s">
        <v>9</v>
      </c>
      <c r="E143" s="16" t="s">
        <v>52</v>
      </c>
      <c r="F143" s="16">
        <v>0.71319444444444446</v>
      </c>
      <c r="G143" t="s">
        <v>33</v>
      </c>
      <c r="H143" t="str">
        <f t="shared" si="2"/>
        <v>Morning</v>
      </c>
    </row>
    <row r="144" spans="1:8">
      <c r="A144" t="s">
        <v>25</v>
      </c>
      <c r="B144" s="23">
        <v>45872</v>
      </c>
      <c r="C144" t="s">
        <v>30</v>
      </c>
      <c r="D144" t="s">
        <v>18</v>
      </c>
      <c r="E144" s="16" t="s">
        <v>123</v>
      </c>
      <c r="F144" s="16" t="s">
        <v>28</v>
      </c>
      <c r="G144" t="s">
        <v>33</v>
      </c>
      <c r="H144" t="str">
        <f t="shared" si="2"/>
        <v>Morning</v>
      </c>
    </row>
    <row r="145" spans="1:8">
      <c r="A145" t="s">
        <v>167</v>
      </c>
      <c r="B145" s="23">
        <v>45835</v>
      </c>
      <c r="C145" t="s">
        <v>26</v>
      </c>
      <c r="D145" t="s">
        <v>18</v>
      </c>
      <c r="E145" s="16" t="s">
        <v>111</v>
      </c>
      <c r="F145" s="16" t="s">
        <v>67</v>
      </c>
      <c r="G145" t="s">
        <v>188</v>
      </c>
      <c r="H145" t="str">
        <f t="shared" si="2"/>
        <v>Morning</v>
      </c>
    </row>
    <row r="146" spans="1:8">
      <c r="A146" t="s">
        <v>89</v>
      </c>
      <c r="B146" s="23">
        <v>46155</v>
      </c>
      <c r="C146" t="s">
        <v>35</v>
      </c>
      <c r="D146" t="s">
        <v>9</v>
      </c>
      <c r="E146" s="16" t="s">
        <v>40</v>
      </c>
      <c r="F146" s="16" t="s">
        <v>40</v>
      </c>
      <c r="G146" t="s">
        <v>41</v>
      </c>
      <c r="H146" t="str">
        <f t="shared" si="2"/>
        <v>Morning</v>
      </c>
    </row>
    <row r="147" spans="1:8">
      <c r="A147" t="s">
        <v>168</v>
      </c>
      <c r="B147" s="23">
        <v>45982</v>
      </c>
      <c r="C147" t="s">
        <v>8</v>
      </c>
      <c r="D147" t="s">
        <v>9</v>
      </c>
      <c r="E147" s="16" t="s">
        <v>189</v>
      </c>
      <c r="F147" s="16" t="s">
        <v>190</v>
      </c>
      <c r="G147" t="s">
        <v>21</v>
      </c>
      <c r="H147" t="str">
        <f t="shared" si="2"/>
        <v>Morning</v>
      </c>
    </row>
    <row r="148" spans="1:8">
      <c r="A148" t="s">
        <v>80</v>
      </c>
      <c r="B148" s="23">
        <v>45874</v>
      </c>
      <c r="C148" t="s">
        <v>26</v>
      </c>
      <c r="D148" t="s">
        <v>9</v>
      </c>
      <c r="E148" s="16" t="s">
        <v>111</v>
      </c>
      <c r="F148" s="16" t="s">
        <v>28</v>
      </c>
      <c r="G148" t="s">
        <v>33</v>
      </c>
      <c r="H148" t="str">
        <f t="shared" si="2"/>
        <v>Morning</v>
      </c>
    </row>
    <row r="149" spans="1:8">
      <c r="A149" t="s">
        <v>68</v>
      </c>
      <c r="B149" s="23">
        <v>45740</v>
      </c>
      <c r="C149" t="s">
        <v>8</v>
      </c>
      <c r="D149" t="s">
        <v>9</v>
      </c>
      <c r="E149" s="16">
        <v>0.33958333333333335</v>
      </c>
      <c r="F149" s="16" t="s">
        <v>16</v>
      </c>
      <c r="G149" t="s">
        <v>12</v>
      </c>
      <c r="H149" t="str">
        <f t="shared" si="2"/>
        <v>Morning</v>
      </c>
    </row>
    <row r="150" spans="1:8">
      <c r="A150" t="s">
        <v>183</v>
      </c>
      <c r="B150" s="23">
        <v>45891</v>
      </c>
      <c r="C150" t="s">
        <v>35</v>
      </c>
      <c r="D150" t="s">
        <v>9</v>
      </c>
      <c r="E150" s="16" t="s">
        <v>50</v>
      </c>
      <c r="F150" s="16" t="s">
        <v>190</v>
      </c>
      <c r="G150" t="s">
        <v>12</v>
      </c>
      <c r="H150" t="str">
        <f t="shared" si="2"/>
        <v>Morning</v>
      </c>
    </row>
    <row r="151" spans="1:8">
      <c r="A151" t="s">
        <v>105</v>
      </c>
      <c r="B151" s="23">
        <v>45847</v>
      </c>
      <c r="C151" t="s">
        <v>26</v>
      </c>
      <c r="D151" t="s">
        <v>9</v>
      </c>
      <c r="E151" s="16" t="s">
        <v>169</v>
      </c>
      <c r="F151" s="16" t="s">
        <v>75</v>
      </c>
      <c r="G151" t="s">
        <v>12</v>
      </c>
      <c r="H151" t="str">
        <f t="shared" si="2"/>
        <v>Evening</v>
      </c>
    </row>
    <row r="152" spans="1:8">
      <c r="A152" t="s">
        <v>192</v>
      </c>
      <c r="B152" s="23">
        <v>46177</v>
      </c>
      <c r="C152" t="s">
        <v>8</v>
      </c>
      <c r="D152" t="s">
        <v>9</v>
      </c>
      <c r="E152" s="16" t="s">
        <v>52</v>
      </c>
      <c r="F152" s="16">
        <v>0.71319444444444446</v>
      </c>
      <c r="G152" t="s">
        <v>12</v>
      </c>
      <c r="H152" t="str">
        <f t="shared" si="2"/>
        <v>Morning</v>
      </c>
    </row>
    <row r="153" spans="1:8">
      <c r="A153" t="s">
        <v>162</v>
      </c>
      <c r="B153" s="23">
        <v>45933</v>
      </c>
      <c r="C153" t="s">
        <v>23</v>
      </c>
      <c r="D153" t="s">
        <v>9</v>
      </c>
      <c r="E153" s="16" t="s">
        <v>54</v>
      </c>
      <c r="F153" s="16" t="s">
        <v>161</v>
      </c>
      <c r="G153" t="s">
        <v>33</v>
      </c>
      <c r="H153" t="str">
        <f t="shared" si="2"/>
        <v>Morning</v>
      </c>
    </row>
    <row r="154" spans="1:8">
      <c r="A154" t="s">
        <v>34</v>
      </c>
      <c r="B154" s="23">
        <v>45762</v>
      </c>
      <c r="C154" t="s">
        <v>23</v>
      </c>
      <c r="D154" t="s">
        <v>9</v>
      </c>
      <c r="E154" s="16" t="s">
        <v>54</v>
      </c>
      <c r="F154" s="16" t="s">
        <v>48</v>
      </c>
      <c r="G154" t="s">
        <v>12</v>
      </c>
      <c r="H154" t="str">
        <f t="shared" si="2"/>
        <v>Morning</v>
      </c>
    </row>
    <row r="155" spans="1:8">
      <c r="A155" t="s">
        <v>132</v>
      </c>
      <c r="B155" s="23">
        <v>45679</v>
      </c>
      <c r="C155" t="s">
        <v>30</v>
      </c>
      <c r="D155" t="s">
        <v>9</v>
      </c>
      <c r="E155" s="16" t="s">
        <v>169</v>
      </c>
      <c r="F155" s="16" t="s">
        <v>194</v>
      </c>
      <c r="G155" t="s">
        <v>12</v>
      </c>
      <c r="H155" t="str">
        <f t="shared" si="2"/>
        <v>Evening</v>
      </c>
    </row>
    <row r="156" spans="1:8">
      <c r="A156" t="s">
        <v>196</v>
      </c>
      <c r="B156" s="23">
        <v>45993</v>
      </c>
      <c r="C156" t="s">
        <v>35</v>
      </c>
      <c r="D156" t="s">
        <v>9</v>
      </c>
      <c r="E156" s="16" t="s">
        <v>58</v>
      </c>
      <c r="F156" s="16" t="s">
        <v>24</v>
      </c>
      <c r="G156" t="s">
        <v>12</v>
      </c>
      <c r="H156" t="str">
        <f t="shared" si="2"/>
        <v>Morning</v>
      </c>
    </row>
    <row r="157" spans="1:8">
      <c r="A157" t="s">
        <v>187</v>
      </c>
      <c r="B157" s="23">
        <v>45805</v>
      </c>
      <c r="C157" t="s">
        <v>23</v>
      </c>
      <c r="D157" t="s">
        <v>9</v>
      </c>
      <c r="E157" s="16" t="s">
        <v>43</v>
      </c>
      <c r="F157" s="16" t="s">
        <v>48</v>
      </c>
      <c r="G157" t="s">
        <v>12</v>
      </c>
      <c r="H157" t="str">
        <f t="shared" si="2"/>
        <v>Morning</v>
      </c>
    </row>
    <row r="158" spans="1:8">
      <c r="A158" t="s">
        <v>197</v>
      </c>
      <c r="B158" s="23">
        <v>46086</v>
      </c>
      <c r="C158" t="s">
        <v>30</v>
      </c>
      <c r="D158" t="s">
        <v>18</v>
      </c>
      <c r="E158" s="16" t="s">
        <v>63</v>
      </c>
      <c r="F158" s="16" t="s">
        <v>122</v>
      </c>
      <c r="G158" t="s">
        <v>21</v>
      </c>
      <c r="H158" t="str">
        <f t="shared" si="2"/>
        <v>Morning</v>
      </c>
    </row>
    <row r="159" spans="1:8">
      <c r="A159" t="s">
        <v>113</v>
      </c>
      <c r="B159" s="23">
        <v>46023</v>
      </c>
      <c r="C159" t="s">
        <v>26</v>
      </c>
      <c r="D159" t="s">
        <v>9</v>
      </c>
      <c r="E159" s="16" t="s">
        <v>111</v>
      </c>
      <c r="F159" s="16" t="s">
        <v>198</v>
      </c>
      <c r="G159" t="s">
        <v>12</v>
      </c>
      <c r="H159" t="str">
        <f t="shared" si="2"/>
        <v>Morning</v>
      </c>
    </row>
    <row r="160" spans="1:8">
      <c r="A160" t="s">
        <v>89</v>
      </c>
      <c r="B160" s="23">
        <v>46121</v>
      </c>
      <c r="C160" t="s">
        <v>35</v>
      </c>
      <c r="D160" t="s">
        <v>9</v>
      </c>
      <c r="E160" s="16" t="s">
        <v>99</v>
      </c>
      <c r="F160" s="16" t="s">
        <v>184</v>
      </c>
      <c r="G160" t="s">
        <v>12</v>
      </c>
      <c r="H160" t="str">
        <f t="shared" si="2"/>
        <v>Evening</v>
      </c>
    </row>
    <row r="161" spans="1:8">
      <c r="A161" t="s">
        <v>78</v>
      </c>
      <c r="B161" s="23">
        <v>46188</v>
      </c>
      <c r="C161" t="s">
        <v>23</v>
      </c>
      <c r="D161" t="s">
        <v>9</v>
      </c>
      <c r="E161" s="16" t="s">
        <v>97</v>
      </c>
      <c r="F161" s="16" t="s">
        <v>116</v>
      </c>
      <c r="G161" t="s">
        <v>12</v>
      </c>
      <c r="H161" t="str">
        <f t="shared" si="2"/>
        <v>Evening</v>
      </c>
    </row>
    <row r="162" spans="1:8">
      <c r="A162" t="s">
        <v>199</v>
      </c>
      <c r="B162" s="23">
        <v>46057</v>
      </c>
      <c r="C162" t="s">
        <v>26</v>
      </c>
      <c r="D162" t="s">
        <v>18</v>
      </c>
      <c r="E162" s="16" t="s">
        <v>54</v>
      </c>
      <c r="F162" s="16" t="s">
        <v>161</v>
      </c>
      <c r="G162" t="s">
        <v>12</v>
      </c>
      <c r="H162" t="str">
        <f t="shared" si="2"/>
        <v>Morning</v>
      </c>
    </row>
    <row r="163" spans="1:8">
      <c r="A163" t="s">
        <v>93</v>
      </c>
      <c r="B163" s="23">
        <v>45827</v>
      </c>
      <c r="C163" t="s">
        <v>23</v>
      </c>
      <c r="D163" t="s">
        <v>9</v>
      </c>
      <c r="E163" s="16" t="s">
        <v>200</v>
      </c>
      <c r="F163" s="16" t="s">
        <v>24</v>
      </c>
      <c r="G163" t="s">
        <v>21</v>
      </c>
      <c r="H163" t="str">
        <f t="shared" si="2"/>
        <v>Morning</v>
      </c>
    </row>
    <row r="164" spans="1:8">
      <c r="A164" t="s">
        <v>177</v>
      </c>
      <c r="B164" s="23">
        <v>45880</v>
      </c>
      <c r="C164" t="s">
        <v>30</v>
      </c>
      <c r="D164" t="s">
        <v>9</v>
      </c>
      <c r="E164" s="16" t="s">
        <v>40</v>
      </c>
      <c r="F164" s="16" t="s">
        <v>40</v>
      </c>
      <c r="G164" t="s">
        <v>41</v>
      </c>
      <c r="H164" t="str">
        <f t="shared" si="2"/>
        <v>Morning</v>
      </c>
    </row>
    <row r="165" spans="1:8">
      <c r="A165" t="s">
        <v>177</v>
      </c>
      <c r="B165" s="23">
        <v>45811</v>
      </c>
      <c r="C165" t="s">
        <v>35</v>
      </c>
      <c r="D165" t="s">
        <v>9</v>
      </c>
      <c r="E165" s="16" t="s">
        <v>201</v>
      </c>
      <c r="F165" s="16" t="s">
        <v>61</v>
      </c>
      <c r="G165" t="s">
        <v>21</v>
      </c>
      <c r="H165" t="str">
        <f t="shared" si="2"/>
        <v>Morning</v>
      </c>
    </row>
    <row r="166" spans="1:8">
      <c r="A166" t="s">
        <v>202</v>
      </c>
      <c r="B166" s="23">
        <v>45998</v>
      </c>
      <c r="C166" t="s">
        <v>26</v>
      </c>
      <c r="D166" t="s">
        <v>9</v>
      </c>
      <c r="E166" s="16" t="s">
        <v>50</v>
      </c>
      <c r="F166" s="16" t="s">
        <v>117</v>
      </c>
      <c r="G166" t="s">
        <v>33</v>
      </c>
      <c r="H166" t="str">
        <f t="shared" si="2"/>
        <v>Morning</v>
      </c>
    </row>
    <row r="167" spans="1:8">
      <c r="A167" t="s">
        <v>34</v>
      </c>
      <c r="B167" s="23">
        <v>45735</v>
      </c>
      <c r="C167" t="s">
        <v>23</v>
      </c>
      <c r="D167" t="s">
        <v>9</v>
      </c>
      <c r="E167" s="16" t="s">
        <v>40</v>
      </c>
      <c r="F167" s="16" t="s">
        <v>40</v>
      </c>
      <c r="G167" t="s">
        <v>41</v>
      </c>
      <c r="H167" t="str">
        <f t="shared" si="2"/>
        <v>Morning</v>
      </c>
    </row>
    <row r="168" spans="1:8">
      <c r="A168" t="s">
        <v>177</v>
      </c>
      <c r="B168" s="23">
        <v>46130</v>
      </c>
      <c r="C168" t="s">
        <v>23</v>
      </c>
      <c r="D168" t="s">
        <v>9</v>
      </c>
      <c r="E168" s="16" t="s">
        <v>201</v>
      </c>
      <c r="F168" s="16" t="s">
        <v>115</v>
      </c>
      <c r="G168" t="s">
        <v>21</v>
      </c>
      <c r="H168" t="str">
        <f t="shared" si="2"/>
        <v>Morning</v>
      </c>
    </row>
    <row r="169" spans="1:8">
      <c r="A169" t="s">
        <v>203</v>
      </c>
      <c r="B169" s="23">
        <v>45952</v>
      </c>
      <c r="C169" t="s">
        <v>26</v>
      </c>
      <c r="D169" t="s">
        <v>18</v>
      </c>
      <c r="E169" s="16" t="s">
        <v>189</v>
      </c>
      <c r="F169" s="16" t="s">
        <v>69</v>
      </c>
      <c r="G169" t="s">
        <v>21</v>
      </c>
      <c r="H169" t="str">
        <f t="shared" si="2"/>
        <v>Morning</v>
      </c>
    </row>
    <row r="170" spans="1:8">
      <c r="A170" t="s">
        <v>25</v>
      </c>
      <c r="B170" s="23">
        <v>46172</v>
      </c>
      <c r="C170" t="s">
        <v>23</v>
      </c>
      <c r="D170" t="s">
        <v>9</v>
      </c>
      <c r="E170" s="16" t="s">
        <v>54</v>
      </c>
      <c r="F170" s="16" t="s">
        <v>143</v>
      </c>
      <c r="G170" t="s">
        <v>12</v>
      </c>
      <c r="H170" t="str">
        <f t="shared" si="2"/>
        <v>Morning</v>
      </c>
    </row>
    <row r="171" spans="1:8">
      <c r="A171" t="s">
        <v>29</v>
      </c>
      <c r="B171" s="23">
        <v>45931</v>
      </c>
      <c r="C171" t="s">
        <v>26</v>
      </c>
      <c r="D171" t="s">
        <v>9</v>
      </c>
      <c r="E171" s="16" t="s">
        <v>58</v>
      </c>
      <c r="F171" s="16" t="s">
        <v>69</v>
      </c>
      <c r="G171" t="s">
        <v>12</v>
      </c>
      <c r="H171" t="str">
        <f t="shared" si="2"/>
        <v>Morning</v>
      </c>
    </row>
    <row r="172" spans="1:8">
      <c r="A172" t="s">
        <v>103</v>
      </c>
      <c r="B172" s="23">
        <v>46063</v>
      </c>
      <c r="C172" t="s">
        <v>26</v>
      </c>
      <c r="D172" t="s">
        <v>9</v>
      </c>
      <c r="E172" s="16" t="s">
        <v>204</v>
      </c>
      <c r="F172" s="16" t="s">
        <v>186</v>
      </c>
      <c r="G172" t="s">
        <v>12</v>
      </c>
      <c r="H172" t="str">
        <f t="shared" si="2"/>
        <v>Morning</v>
      </c>
    </row>
    <row r="173" spans="1:8">
      <c r="A173" t="s">
        <v>131</v>
      </c>
      <c r="B173" s="23">
        <v>45774</v>
      </c>
      <c r="C173" t="s">
        <v>23</v>
      </c>
      <c r="D173" t="s">
        <v>9</v>
      </c>
      <c r="E173" s="16">
        <v>0.33958333333333335</v>
      </c>
      <c r="F173" s="16" t="s">
        <v>32</v>
      </c>
      <c r="G173" t="s">
        <v>33</v>
      </c>
      <c r="H173" t="str">
        <f t="shared" si="2"/>
        <v>Morning</v>
      </c>
    </row>
    <row r="174" spans="1:8">
      <c r="A174" t="s">
        <v>127</v>
      </c>
      <c r="B174" s="23">
        <v>45989</v>
      </c>
      <c r="C174" t="s">
        <v>30</v>
      </c>
      <c r="D174" t="s">
        <v>9</v>
      </c>
      <c r="E174" s="16" t="s">
        <v>111</v>
      </c>
      <c r="F174" s="16" t="s">
        <v>20</v>
      </c>
      <c r="G174" t="s">
        <v>12</v>
      </c>
      <c r="H174" t="str">
        <f t="shared" si="2"/>
        <v>Morning</v>
      </c>
    </row>
    <row r="175" spans="1:8">
      <c r="A175" t="s">
        <v>131</v>
      </c>
      <c r="B175" s="23">
        <v>45935</v>
      </c>
      <c r="C175" t="s">
        <v>23</v>
      </c>
      <c r="D175" t="s">
        <v>9</v>
      </c>
      <c r="E175" s="16" t="s">
        <v>111</v>
      </c>
      <c r="F175" s="16" t="s">
        <v>122</v>
      </c>
      <c r="G175" t="s">
        <v>12</v>
      </c>
      <c r="H175" t="str">
        <f t="shared" si="2"/>
        <v>Morning</v>
      </c>
    </row>
    <row r="176" spans="1:8">
      <c r="A176" t="s">
        <v>68</v>
      </c>
      <c r="B176" s="23">
        <v>45802</v>
      </c>
      <c r="C176" t="s">
        <v>35</v>
      </c>
      <c r="D176" t="s">
        <v>9</v>
      </c>
      <c r="E176" s="16" t="s">
        <v>50</v>
      </c>
      <c r="F176" s="16" t="s">
        <v>48</v>
      </c>
      <c r="G176" t="s">
        <v>12</v>
      </c>
      <c r="H176" t="str">
        <f t="shared" si="2"/>
        <v>Morning</v>
      </c>
    </row>
    <row r="177" spans="1:8">
      <c r="A177" t="s">
        <v>205</v>
      </c>
      <c r="B177" s="23">
        <v>46063</v>
      </c>
      <c r="C177" t="s">
        <v>23</v>
      </c>
      <c r="D177" t="s">
        <v>9</v>
      </c>
      <c r="E177" s="16" t="s">
        <v>10</v>
      </c>
      <c r="F177" s="16" t="s">
        <v>75</v>
      </c>
      <c r="G177" t="s">
        <v>12</v>
      </c>
      <c r="H177" t="str">
        <f t="shared" si="2"/>
        <v>Evening</v>
      </c>
    </row>
    <row r="178" spans="1:8">
      <c r="A178" t="s">
        <v>22</v>
      </c>
      <c r="B178" s="23">
        <v>46108</v>
      </c>
      <c r="C178" t="s">
        <v>35</v>
      </c>
      <c r="D178" t="s">
        <v>9</v>
      </c>
      <c r="E178" s="16" t="s">
        <v>206</v>
      </c>
      <c r="F178" s="16" t="s">
        <v>155</v>
      </c>
      <c r="G178" t="s">
        <v>21</v>
      </c>
      <c r="H178" t="str">
        <f t="shared" si="2"/>
        <v>Morning</v>
      </c>
    </row>
    <row r="179" spans="1:8">
      <c r="A179" t="s">
        <v>85</v>
      </c>
      <c r="B179" s="23">
        <v>45877</v>
      </c>
      <c r="C179" t="s">
        <v>23</v>
      </c>
      <c r="D179" t="s">
        <v>9</v>
      </c>
      <c r="E179" s="16" t="s">
        <v>97</v>
      </c>
      <c r="F179" s="16">
        <v>0.9291666666666667</v>
      </c>
      <c r="G179" t="s">
        <v>33</v>
      </c>
      <c r="H179" t="str">
        <f t="shared" si="2"/>
        <v>Evening</v>
      </c>
    </row>
    <row r="180" spans="1:8">
      <c r="A180" t="s">
        <v>191</v>
      </c>
      <c r="B180" s="23">
        <v>45998</v>
      </c>
      <c r="C180" t="s">
        <v>23</v>
      </c>
      <c r="D180" t="s">
        <v>9</v>
      </c>
      <c r="E180" s="16" t="s">
        <v>207</v>
      </c>
      <c r="F180" s="16" t="s">
        <v>133</v>
      </c>
      <c r="G180" t="s">
        <v>21</v>
      </c>
      <c r="H180" t="str">
        <f t="shared" si="2"/>
        <v>Morning</v>
      </c>
    </row>
    <row r="181" spans="1:8">
      <c r="A181" t="s">
        <v>192</v>
      </c>
      <c r="B181" s="23">
        <v>45911</v>
      </c>
      <c r="C181" t="s">
        <v>14</v>
      </c>
      <c r="D181" t="s">
        <v>9</v>
      </c>
      <c r="E181" s="16" t="s">
        <v>52</v>
      </c>
      <c r="F181" s="16" t="s">
        <v>28</v>
      </c>
      <c r="G181" t="s">
        <v>12</v>
      </c>
      <c r="H181" t="str">
        <f t="shared" si="2"/>
        <v>Morning</v>
      </c>
    </row>
    <row r="182" spans="1:8">
      <c r="A182" t="s">
        <v>51</v>
      </c>
      <c r="B182" s="23">
        <v>45865</v>
      </c>
      <c r="C182" t="s">
        <v>23</v>
      </c>
      <c r="D182" t="s">
        <v>9</v>
      </c>
      <c r="E182" s="16" t="s">
        <v>58</v>
      </c>
      <c r="F182" s="16" t="s">
        <v>72</v>
      </c>
      <c r="G182" t="s">
        <v>12</v>
      </c>
      <c r="H182" t="str">
        <f t="shared" si="2"/>
        <v>Morning</v>
      </c>
    </row>
    <row r="183" spans="1:8">
      <c r="A183" t="s">
        <v>110</v>
      </c>
      <c r="B183" s="23">
        <v>45762</v>
      </c>
      <c r="C183" t="s">
        <v>26</v>
      </c>
      <c r="D183" t="s">
        <v>18</v>
      </c>
      <c r="E183" s="16" t="s">
        <v>47</v>
      </c>
      <c r="F183" s="16" t="s">
        <v>155</v>
      </c>
      <c r="G183" t="s">
        <v>33</v>
      </c>
      <c r="H183" t="str">
        <f t="shared" si="2"/>
        <v>Morning</v>
      </c>
    </row>
    <row r="184" spans="1:8">
      <c r="A184" t="s">
        <v>60</v>
      </c>
      <c r="B184" s="23">
        <v>45972</v>
      </c>
      <c r="C184" t="s">
        <v>8</v>
      </c>
      <c r="D184" t="s">
        <v>18</v>
      </c>
      <c r="E184" s="16" t="s">
        <v>50</v>
      </c>
      <c r="F184" s="16" t="s">
        <v>190</v>
      </c>
      <c r="G184" t="s">
        <v>33</v>
      </c>
      <c r="H184" t="str">
        <f t="shared" si="2"/>
        <v>Morning</v>
      </c>
    </row>
    <row r="185" spans="1:8">
      <c r="A185" t="s">
        <v>168</v>
      </c>
      <c r="B185" s="23">
        <v>46109</v>
      </c>
      <c r="C185" t="s">
        <v>23</v>
      </c>
      <c r="D185" t="s">
        <v>9</v>
      </c>
      <c r="E185" s="16" t="s">
        <v>99</v>
      </c>
      <c r="F185" s="16" t="s">
        <v>153</v>
      </c>
      <c r="G185" t="s">
        <v>12</v>
      </c>
      <c r="H185" t="str">
        <f t="shared" si="2"/>
        <v>Evening</v>
      </c>
    </row>
    <row r="186" spans="1:8">
      <c r="A186" t="s">
        <v>110</v>
      </c>
      <c r="B186" s="23">
        <v>45667</v>
      </c>
      <c r="C186" t="s">
        <v>23</v>
      </c>
      <c r="D186" t="s">
        <v>9</v>
      </c>
      <c r="E186" s="16" t="s">
        <v>54</v>
      </c>
      <c r="F186" s="16" t="s">
        <v>55</v>
      </c>
      <c r="G186" t="s">
        <v>12</v>
      </c>
      <c r="H186" t="str">
        <f t="shared" si="2"/>
        <v>Morning</v>
      </c>
    </row>
    <row r="187" spans="1:8">
      <c r="A187" t="s">
        <v>177</v>
      </c>
      <c r="B187" s="23">
        <v>46036</v>
      </c>
      <c r="C187" t="s">
        <v>26</v>
      </c>
      <c r="D187" t="s">
        <v>9</v>
      </c>
      <c r="E187" s="16">
        <v>0.33958333333333335</v>
      </c>
      <c r="F187" s="16" t="s">
        <v>150</v>
      </c>
      <c r="G187" t="s">
        <v>12</v>
      </c>
      <c r="H187" t="str">
        <f t="shared" si="2"/>
        <v>Morning</v>
      </c>
    </row>
    <row r="188" spans="1:8">
      <c r="A188" t="s">
        <v>177</v>
      </c>
      <c r="B188" s="23">
        <v>46032</v>
      </c>
      <c r="C188" t="s">
        <v>26</v>
      </c>
      <c r="D188" t="s">
        <v>9</v>
      </c>
      <c r="E188" s="16" t="s">
        <v>58</v>
      </c>
      <c r="F188" s="16" t="s">
        <v>120</v>
      </c>
      <c r="G188" t="s">
        <v>12</v>
      </c>
      <c r="H188" t="str">
        <f t="shared" si="2"/>
        <v>Morning</v>
      </c>
    </row>
    <row r="189" spans="1:8">
      <c r="A189" t="s">
        <v>92</v>
      </c>
      <c r="B189" s="23">
        <v>45797</v>
      </c>
      <c r="C189" t="s">
        <v>35</v>
      </c>
      <c r="D189" t="s">
        <v>18</v>
      </c>
      <c r="E189" s="16" t="s">
        <v>208</v>
      </c>
      <c r="F189" s="16" t="s">
        <v>100</v>
      </c>
      <c r="G189" t="s">
        <v>21</v>
      </c>
      <c r="H189" t="str">
        <f t="shared" si="2"/>
        <v>Evening</v>
      </c>
    </row>
    <row r="190" spans="1:8">
      <c r="A190" t="s">
        <v>103</v>
      </c>
      <c r="B190" s="23">
        <v>45987</v>
      </c>
      <c r="C190" t="s">
        <v>30</v>
      </c>
      <c r="D190" t="s">
        <v>9</v>
      </c>
      <c r="E190" s="16" t="s">
        <v>66</v>
      </c>
      <c r="F190" s="16" t="s">
        <v>86</v>
      </c>
      <c r="G190" t="s">
        <v>12</v>
      </c>
      <c r="H190" t="str">
        <f t="shared" si="2"/>
        <v>Morning</v>
      </c>
    </row>
    <row r="191" spans="1:8">
      <c r="A191" t="s">
        <v>42</v>
      </c>
      <c r="B191" s="23">
        <v>46096</v>
      </c>
      <c r="C191" t="s">
        <v>23</v>
      </c>
      <c r="D191" t="s">
        <v>18</v>
      </c>
      <c r="E191" s="16" t="s">
        <v>66</v>
      </c>
      <c r="F191" s="16" t="s">
        <v>146</v>
      </c>
      <c r="G191" t="s">
        <v>12</v>
      </c>
      <c r="H191" t="str">
        <f t="shared" si="2"/>
        <v>Morning</v>
      </c>
    </row>
    <row r="192" spans="1:8">
      <c r="A192" t="s">
        <v>80</v>
      </c>
      <c r="B192" s="23">
        <v>46114</v>
      </c>
      <c r="C192" t="s">
        <v>23</v>
      </c>
      <c r="D192" t="s">
        <v>9</v>
      </c>
      <c r="E192" s="16">
        <v>0.33958333333333335</v>
      </c>
      <c r="F192" s="16" t="s">
        <v>38</v>
      </c>
      <c r="G192" t="s">
        <v>12</v>
      </c>
      <c r="H192" t="str">
        <f t="shared" si="2"/>
        <v>Morning</v>
      </c>
    </row>
    <row r="193" spans="1:8">
      <c r="A193" t="s">
        <v>57</v>
      </c>
      <c r="B193" s="23">
        <v>46111</v>
      </c>
      <c r="C193" t="s">
        <v>26</v>
      </c>
      <c r="D193" t="s">
        <v>18</v>
      </c>
      <c r="E193" s="16" t="s">
        <v>50</v>
      </c>
      <c r="F193" s="16" t="s">
        <v>44</v>
      </c>
      <c r="G193" t="s">
        <v>12</v>
      </c>
      <c r="H193" t="str">
        <f t="shared" si="2"/>
        <v>Morning</v>
      </c>
    </row>
    <row r="194" spans="1:8">
      <c r="A194" t="s">
        <v>151</v>
      </c>
      <c r="B194" s="23">
        <v>46035</v>
      </c>
      <c r="C194" t="s">
        <v>30</v>
      </c>
      <c r="D194" t="s">
        <v>9</v>
      </c>
      <c r="E194" s="16">
        <v>0.33958333333333335</v>
      </c>
      <c r="F194" s="16" t="s">
        <v>86</v>
      </c>
      <c r="G194" t="s">
        <v>12</v>
      </c>
      <c r="H194" t="str">
        <f t="shared" ref="H194:H262" si="3">IFERROR(IF(TIMEVALUE(E194)&lt;TIME(12,0,0),"Morning","Evening"),D194)</f>
        <v>Morning</v>
      </c>
    </row>
    <row r="195" spans="1:8">
      <c r="A195" t="s">
        <v>83</v>
      </c>
      <c r="B195" s="23">
        <v>45976</v>
      </c>
      <c r="C195" t="s">
        <v>26</v>
      </c>
      <c r="D195" t="s">
        <v>18</v>
      </c>
      <c r="E195" s="16" t="s">
        <v>171</v>
      </c>
      <c r="F195" s="16">
        <v>0.9291666666666667</v>
      </c>
      <c r="G195" t="s">
        <v>21</v>
      </c>
      <c r="H195" t="str">
        <f t="shared" si="3"/>
        <v>Evening</v>
      </c>
    </row>
    <row r="196" spans="1:8">
      <c r="A196" t="s">
        <v>147</v>
      </c>
      <c r="B196" s="23">
        <v>46176</v>
      </c>
      <c r="C196" t="s">
        <v>30</v>
      </c>
      <c r="D196" t="s">
        <v>9</v>
      </c>
      <c r="E196" s="16" t="s">
        <v>169</v>
      </c>
      <c r="F196" s="16" t="s">
        <v>140</v>
      </c>
      <c r="G196" t="s">
        <v>12</v>
      </c>
      <c r="H196" t="str">
        <f t="shared" si="3"/>
        <v>Evening</v>
      </c>
    </row>
    <row r="197" spans="1:8">
      <c r="A197" t="s">
        <v>106</v>
      </c>
      <c r="B197" s="23">
        <v>46214</v>
      </c>
      <c r="C197" t="s">
        <v>30</v>
      </c>
      <c r="D197" t="s">
        <v>9</v>
      </c>
      <c r="E197" s="16" t="s">
        <v>135</v>
      </c>
      <c r="F197" s="16" t="s">
        <v>102</v>
      </c>
      <c r="G197" t="s">
        <v>12</v>
      </c>
      <c r="H197" t="str">
        <f t="shared" si="3"/>
        <v>Evening</v>
      </c>
    </row>
    <row r="198" spans="1:8">
      <c r="A198" t="s">
        <v>141</v>
      </c>
      <c r="B198" s="23">
        <v>45820</v>
      </c>
      <c r="C198" t="s">
        <v>35</v>
      </c>
      <c r="D198" t="s">
        <v>18</v>
      </c>
      <c r="E198" s="16" t="s">
        <v>209</v>
      </c>
      <c r="F198" s="16" t="s">
        <v>146</v>
      </c>
      <c r="G198" t="s">
        <v>21</v>
      </c>
      <c r="H198" t="str">
        <f t="shared" si="3"/>
        <v>Morning</v>
      </c>
    </row>
    <row r="199" spans="1:8">
      <c r="A199" t="s">
        <v>199</v>
      </c>
      <c r="B199" s="23">
        <v>46167</v>
      </c>
      <c r="C199" t="s">
        <v>23</v>
      </c>
      <c r="D199" t="s">
        <v>18</v>
      </c>
      <c r="E199" s="16" t="s">
        <v>210</v>
      </c>
      <c r="F199" s="16" t="s">
        <v>136</v>
      </c>
      <c r="G199" t="s">
        <v>21</v>
      </c>
      <c r="H199" t="str">
        <f t="shared" si="3"/>
        <v>Evening</v>
      </c>
    </row>
    <row r="200" spans="1:8">
      <c r="A200" t="s">
        <v>114</v>
      </c>
      <c r="B200" s="23">
        <v>46183</v>
      </c>
      <c r="C200" t="s">
        <v>30</v>
      </c>
      <c r="D200" t="s">
        <v>18</v>
      </c>
      <c r="E200" s="16" t="s">
        <v>123</v>
      </c>
      <c r="F200" s="16" t="s">
        <v>155</v>
      </c>
      <c r="G200" t="s">
        <v>12</v>
      </c>
      <c r="H200" t="str">
        <f t="shared" si="3"/>
        <v>Morning</v>
      </c>
    </row>
    <row r="201" spans="1:8">
      <c r="A201" t="s">
        <v>49</v>
      </c>
      <c r="B201" s="23">
        <v>45955</v>
      </c>
      <c r="C201" t="s">
        <v>23</v>
      </c>
      <c r="D201" t="s">
        <v>9</v>
      </c>
      <c r="E201" s="16" t="s">
        <v>52</v>
      </c>
      <c r="F201" s="16" t="s">
        <v>150</v>
      </c>
      <c r="G201" t="s">
        <v>12</v>
      </c>
      <c r="H201" t="str">
        <f t="shared" si="3"/>
        <v>Morning</v>
      </c>
    </row>
    <row r="202" spans="1:8">
      <c r="A202" t="s">
        <v>130</v>
      </c>
      <c r="B202" s="23">
        <v>46066</v>
      </c>
      <c r="C202" t="s">
        <v>14</v>
      </c>
      <c r="D202" t="s">
        <v>9</v>
      </c>
      <c r="E202" s="16" t="s">
        <v>66</v>
      </c>
      <c r="F202" s="16" t="s">
        <v>24</v>
      </c>
      <c r="G202" t="s">
        <v>12</v>
      </c>
      <c r="H202" t="str">
        <f t="shared" si="3"/>
        <v>Morning</v>
      </c>
    </row>
    <row r="203" spans="1:8">
      <c r="A203" t="s">
        <v>49</v>
      </c>
      <c r="B203" s="23">
        <v>46011</v>
      </c>
      <c r="C203" t="s">
        <v>8</v>
      </c>
      <c r="D203" t="s">
        <v>9</v>
      </c>
      <c r="E203" s="16" t="s">
        <v>82</v>
      </c>
      <c r="F203" s="16" t="s">
        <v>16</v>
      </c>
      <c r="G203" t="s">
        <v>12</v>
      </c>
      <c r="H203" t="str">
        <f t="shared" si="3"/>
        <v>Evening</v>
      </c>
    </row>
    <row r="204" spans="1:8">
      <c r="A204" t="s">
        <v>68</v>
      </c>
      <c r="B204" s="23">
        <v>45668</v>
      </c>
      <c r="C204" t="s">
        <v>23</v>
      </c>
      <c r="D204" t="s">
        <v>9</v>
      </c>
      <c r="E204" s="16" t="s">
        <v>101</v>
      </c>
      <c r="F204" s="16" t="s">
        <v>211</v>
      </c>
      <c r="G204" t="s">
        <v>12</v>
      </c>
      <c r="H204" t="str">
        <f t="shared" si="3"/>
        <v>Evening</v>
      </c>
    </row>
    <row r="205" spans="1:8">
      <c r="A205" t="s">
        <v>60</v>
      </c>
      <c r="B205" s="23">
        <v>46090</v>
      </c>
      <c r="C205" t="s">
        <v>23</v>
      </c>
      <c r="D205" t="s">
        <v>9</v>
      </c>
      <c r="E205" s="16" t="s">
        <v>63</v>
      </c>
      <c r="F205" s="16" t="s">
        <v>117</v>
      </c>
      <c r="G205" t="s">
        <v>21</v>
      </c>
      <c r="H205" t="str">
        <f t="shared" si="3"/>
        <v>Morning</v>
      </c>
    </row>
    <row r="206" spans="1:8">
      <c r="A206" t="s">
        <v>127</v>
      </c>
      <c r="B206" s="23">
        <v>45753</v>
      </c>
      <c r="C206" t="s">
        <v>23</v>
      </c>
      <c r="D206" t="s">
        <v>9</v>
      </c>
      <c r="E206" s="16" t="s">
        <v>123</v>
      </c>
      <c r="F206" s="16" t="s">
        <v>55</v>
      </c>
      <c r="G206" t="s">
        <v>12</v>
      </c>
      <c r="H206" t="str">
        <f t="shared" si="3"/>
        <v>Morning</v>
      </c>
    </row>
    <row r="207" spans="1:8">
      <c r="A207" t="s">
        <v>131</v>
      </c>
      <c r="B207" s="23">
        <v>46141</v>
      </c>
      <c r="C207" t="s">
        <v>23</v>
      </c>
      <c r="D207" t="s">
        <v>9</v>
      </c>
      <c r="E207" s="16" t="s">
        <v>58</v>
      </c>
      <c r="F207" s="16" t="s">
        <v>155</v>
      </c>
      <c r="G207" t="s">
        <v>12</v>
      </c>
      <c r="H207" t="str">
        <f t="shared" si="3"/>
        <v>Morning</v>
      </c>
    </row>
    <row r="208" spans="1:8">
      <c r="A208" t="s">
        <v>114</v>
      </c>
      <c r="B208" s="23">
        <v>45891</v>
      </c>
      <c r="C208" t="s">
        <v>35</v>
      </c>
      <c r="D208" t="s">
        <v>18</v>
      </c>
      <c r="E208" s="16" t="s">
        <v>52</v>
      </c>
      <c r="F208" s="16">
        <v>0.71319444444444446</v>
      </c>
      <c r="G208" t="s">
        <v>33</v>
      </c>
      <c r="H208" t="str">
        <f t="shared" si="3"/>
        <v>Morning</v>
      </c>
    </row>
    <row r="209" spans="1:8">
      <c r="A209" t="s">
        <v>62</v>
      </c>
      <c r="B209" s="23">
        <v>45671</v>
      </c>
      <c r="C209" t="s">
        <v>35</v>
      </c>
      <c r="D209" t="s">
        <v>18</v>
      </c>
      <c r="E209" s="16" t="s">
        <v>77</v>
      </c>
      <c r="F209" s="16" t="s">
        <v>59</v>
      </c>
      <c r="G209" t="s">
        <v>21</v>
      </c>
      <c r="H209" t="str">
        <f t="shared" si="3"/>
        <v>Morning</v>
      </c>
    </row>
    <row r="210" spans="1:8">
      <c r="A210" t="s">
        <v>7</v>
      </c>
      <c r="B210" s="23">
        <v>46054</v>
      </c>
      <c r="C210" t="s">
        <v>26</v>
      </c>
      <c r="D210" t="s">
        <v>9</v>
      </c>
      <c r="E210" s="16" t="s">
        <v>111</v>
      </c>
      <c r="F210" s="16">
        <v>0.71319444444444446</v>
      </c>
      <c r="G210" t="s">
        <v>12</v>
      </c>
      <c r="H210" t="str">
        <f t="shared" si="3"/>
        <v>Morning</v>
      </c>
    </row>
    <row r="211" spans="1:8">
      <c r="A211" t="s">
        <v>79</v>
      </c>
      <c r="B211" s="23">
        <v>45763</v>
      </c>
      <c r="C211" t="s">
        <v>14</v>
      </c>
      <c r="D211" t="s">
        <v>18</v>
      </c>
      <c r="E211" s="16">
        <v>0.58680555555555558</v>
      </c>
      <c r="F211" s="16" t="s">
        <v>182</v>
      </c>
      <c r="G211" t="s">
        <v>12</v>
      </c>
      <c r="H211" t="str">
        <f t="shared" si="3"/>
        <v>Evening</v>
      </c>
    </row>
    <row r="212" spans="1:8">
      <c r="A212" t="s">
        <v>17</v>
      </c>
      <c r="B212" s="23">
        <v>46006</v>
      </c>
      <c r="C212" t="s">
        <v>23</v>
      </c>
      <c r="D212" t="s">
        <v>9</v>
      </c>
      <c r="E212" s="16" t="s">
        <v>144</v>
      </c>
      <c r="F212" s="16" t="s">
        <v>178</v>
      </c>
      <c r="G212" t="s">
        <v>12</v>
      </c>
      <c r="H212" t="str">
        <f t="shared" si="3"/>
        <v>Evening</v>
      </c>
    </row>
    <row r="213" spans="1:8">
      <c r="A213" t="s">
        <v>39</v>
      </c>
      <c r="B213" s="23">
        <v>45807</v>
      </c>
      <c r="C213" t="s">
        <v>30</v>
      </c>
      <c r="D213" t="s">
        <v>9</v>
      </c>
      <c r="E213" s="16" t="s">
        <v>135</v>
      </c>
      <c r="F213" s="16" t="s">
        <v>213</v>
      </c>
      <c r="G213" t="s">
        <v>12</v>
      </c>
      <c r="H213" t="str">
        <f t="shared" si="3"/>
        <v>Evening</v>
      </c>
    </row>
    <row r="214" spans="1:8">
      <c r="A214" t="s">
        <v>103</v>
      </c>
      <c r="B214" s="23">
        <v>45703</v>
      </c>
      <c r="C214" t="s">
        <v>23</v>
      </c>
      <c r="D214" t="s">
        <v>18</v>
      </c>
      <c r="E214" s="16" t="s">
        <v>40</v>
      </c>
      <c r="F214" s="16" t="s">
        <v>40</v>
      </c>
      <c r="G214" t="s">
        <v>41</v>
      </c>
      <c r="H214" t="str">
        <f t="shared" si="3"/>
        <v>Evening</v>
      </c>
    </row>
    <row r="215" spans="1:8">
      <c r="A215" t="s">
        <v>83</v>
      </c>
      <c r="B215" s="23">
        <v>46212</v>
      </c>
      <c r="C215" t="s">
        <v>30</v>
      </c>
      <c r="D215" t="s">
        <v>9</v>
      </c>
      <c r="E215" s="16" t="s">
        <v>52</v>
      </c>
      <c r="F215" s="16" t="s">
        <v>67</v>
      </c>
      <c r="G215" t="s">
        <v>12</v>
      </c>
      <c r="H215" t="str">
        <f t="shared" si="3"/>
        <v>Morning</v>
      </c>
    </row>
    <row r="216" spans="1:8">
      <c r="A216" t="s">
        <v>106</v>
      </c>
      <c r="B216" s="23">
        <v>45683</v>
      </c>
      <c r="C216" t="s">
        <v>23</v>
      </c>
      <c r="D216" t="s">
        <v>9</v>
      </c>
      <c r="E216" s="16" t="s">
        <v>52</v>
      </c>
      <c r="F216" s="16" t="s">
        <v>122</v>
      </c>
      <c r="G216" t="s">
        <v>12</v>
      </c>
      <c r="H216" t="str">
        <f t="shared" si="3"/>
        <v>Morning</v>
      </c>
    </row>
    <row r="217" spans="1:8">
      <c r="A217" t="s">
        <v>79</v>
      </c>
      <c r="B217" s="23">
        <v>45950</v>
      </c>
      <c r="C217" t="s">
        <v>23</v>
      </c>
      <c r="D217" t="s">
        <v>9</v>
      </c>
      <c r="E217" s="16" t="s">
        <v>50</v>
      </c>
      <c r="F217" s="16" t="s">
        <v>104</v>
      </c>
      <c r="G217" t="s">
        <v>33</v>
      </c>
      <c r="H217" t="str">
        <f t="shared" si="3"/>
        <v>Morning</v>
      </c>
    </row>
    <row r="218" spans="1:8">
      <c r="A218" t="s">
        <v>113</v>
      </c>
      <c r="B218" s="23">
        <v>46004</v>
      </c>
      <c r="C218" t="s">
        <v>23</v>
      </c>
      <c r="D218" t="s">
        <v>9</v>
      </c>
      <c r="E218" s="16" t="s">
        <v>40</v>
      </c>
      <c r="F218" s="16" t="s">
        <v>40</v>
      </c>
      <c r="G218" t="s">
        <v>215</v>
      </c>
      <c r="H218" t="str">
        <f t="shared" si="3"/>
        <v>Morning</v>
      </c>
    </row>
    <row r="219" spans="1:8">
      <c r="A219" t="s">
        <v>81</v>
      </c>
      <c r="B219" s="23">
        <v>45859</v>
      </c>
      <c r="C219" t="s">
        <v>8</v>
      </c>
      <c r="D219" t="s">
        <v>9</v>
      </c>
      <c r="E219" s="16" t="s">
        <v>216</v>
      </c>
      <c r="F219" s="16" t="s">
        <v>184</v>
      </c>
      <c r="G219" t="s">
        <v>21</v>
      </c>
      <c r="H219" t="str">
        <f t="shared" si="3"/>
        <v>Evening</v>
      </c>
    </row>
    <row r="220" spans="1:8">
      <c r="A220" t="s">
        <v>162</v>
      </c>
      <c r="B220" s="23">
        <v>46095</v>
      </c>
      <c r="C220" t="s">
        <v>8</v>
      </c>
      <c r="D220" t="s">
        <v>18</v>
      </c>
      <c r="E220" s="16" t="s">
        <v>58</v>
      </c>
      <c r="F220" s="16" t="s">
        <v>143</v>
      </c>
      <c r="G220" t="s">
        <v>12</v>
      </c>
      <c r="H220" t="str">
        <f t="shared" si="3"/>
        <v>Morning</v>
      </c>
    </row>
    <row r="221" spans="1:8">
      <c r="A221" t="s">
        <v>39</v>
      </c>
      <c r="B221" s="23">
        <v>45721</v>
      </c>
      <c r="C221" t="s">
        <v>30</v>
      </c>
      <c r="D221" t="s">
        <v>9</v>
      </c>
      <c r="E221" s="16" t="s">
        <v>54</v>
      </c>
      <c r="F221" s="16" t="s">
        <v>69</v>
      </c>
      <c r="G221" t="s">
        <v>12</v>
      </c>
      <c r="H221" t="str">
        <f t="shared" si="3"/>
        <v>Morning</v>
      </c>
    </row>
    <row r="222" spans="1:8">
      <c r="A222" t="s">
        <v>84</v>
      </c>
      <c r="B222" s="23">
        <v>45832</v>
      </c>
      <c r="C222" t="s">
        <v>8</v>
      </c>
      <c r="D222" t="s">
        <v>9</v>
      </c>
      <c r="E222" s="16" t="s">
        <v>31</v>
      </c>
      <c r="F222" s="16" t="s">
        <v>48</v>
      </c>
      <c r="G222" t="s">
        <v>33</v>
      </c>
      <c r="H222" t="str">
        <f t="shared" si="3"/>
        <v>Morning</v>
      </c>
    </row>
    <row r="223" spans="1:8">
      <c r="A223" t="s">
        <v>127</v>
      </c>
      <c r="B223" s="23">
        <v>45680</v>
      </c>
      <c r="C223" t="s">
        <v>35</v>
      </c>
      <c r="D223" t="s">
        <v>9</v>
      </c>
      <c r="E223" s="16" t="s">
        <v>50</v>
      </c>
      <c r="F223" s="16" t="s">
        <v>59</v>
      </c>
      <c r="G223" t="s">
        <v>12</v>
      </c>
      <c r="H223" t="str">
        <f t="shared" si="3"/>
        <v>Morning</v>
      </c>
    </row>
    <row r="224" spans="1:8">
      <c r="A224" t="s">
        <v>76</v>
      </c>
      <c r="B224" s="23">
        <v>45798</v>
      </c>
      <c r="C224" t="s">
        <v>30</v>
      </c>
      <c r="D224" t="s">
        <v>9</v>
      </c>
      <c r="E224" s="16" t="s">
        <v>31</v>
      </c>
      <c r="F224" s="16" t="s">
        <v>104</v>
      </c>
      <c r="G224" t="s">
        <v>12</v>
      </c>
      <c r="H224" t="str">
        <f t="shared" si="3"/>
        <v>Morning</v>
      </c>
    </row>
    <row r="225" spans="1:8">
      <c r="A225" t="s">
        <v>173</v>
      </c>
      <c r="B225" s="23">
        <v>46052</v>
      </c>
      <c r="C225" t="s">
        <v>23</v>
      </c>
      <c r="D225" t="s">
        <v>9</v>
      </c>
      <c r="E225" s="16" t="s">
        <v>97</v>
      </c>
      <c r="F225" s="16" t="s">
        <v>75</v>
      </c>
      <c r="G225" t="s">
        <v>12</v>
      </c>
      <c r="H225" t="str">
        <f t="shared" si="3"/>
        <v>Evening</v>
      </c>
    </row>
    <row r="226" spans="1:8">
      <c r="A226" t="s">
        <v>95</v>
      </c>
      <c r="B226" s="23">
        <v>45853</v>
      </c>
      <c r="C226" t="s">
        <v>30</v>
      </c>
      <c r="D226" t="s">
        <v>18</v>
      </c>
      <c r="E226" s="16" t="s">
        <v>144</v>
      </c>
      <c r="F226" s="16" t="s">
        <v>91</v>
      </c>
      <c r="G226" t="s">
        <v>12</v>
      </c>
      <c r="H226" t="str">
        <f t="shared" si="3"/>
        <v>Evening</v>
      </c>
    </row>
    <row r="227" spans="1:8">
      <c r="A227" t="s">
        <v>217</v>
      </c>
      <c r="B227" s="23">
        <v>46049</v>
      </c>
      <c r="C227" t="s">
        <v>35</v>
      </c>
      <c r="D227" t="s">
        <v>9</v>
      </c>
      <c r="E227" s="16" t="s">
        <v>40</v>
      </c>
      <c r="F227" s="16" t="s">
        <v>40</v>
      </c>
      <c r="G227" t="s">
        <v>41</v>
      </c>
      <c r="H227" t="str">
        <f t="shared" si="3"/>
        <v>Morning</v>
      </c>
    </row>
    <row r="228" spans="1:8">
      <c r="A228" t="s">
        <v>141</v>
      </c>
      <c r="B228" s="23">
        <v>45847</v>
      </c>
      <c r="C228" t="s">
        <v>26</v>
      </c>
      <c r="D228" t="s">
        <v>18</v>
      </c>
      <c r="E228" s="16">
        <v>0.58680555555555558</v>
      </c>
      <c r="F228" s="16" t="s">
        <v>44</v>
      </c>
      <c r="G228" t="s">
        <v>12</v>
      </c>
      <c r="H228" t="str">
        <f t="shared" si="3"/>
        <v>Evening</v>
      </c>
    </row>
    <row r="229" spans="1:8">
      <c r="A229" t="s">
        <v>73</v>
      </c>
      <c r="B229" s="23">
        <v>45838</v>
      </c>
      <c r="C229" t="s">
        <v>35</v>
      </c>
      <c r="D229" t="s">
        <v>18</v>
      </c>
      <c r="E229" s="16" t="s">
        <v>50</v>
      </c>
      <c r="F229" s="16" t="s">
        <v>32</v>
      </c>
      <c r="G229" t="s">
        <v>12</v>
      </c>
      <c r="H229" t="str">
        <f t="shared" si="3"/>
        <v>Morning</v>
      </c>
    </row>
    <row r="230" spans="1:8">
      <c r="A230" t="s">
        <v>29</v>
      </c>
      <c r="B230" s="23">
        <v>45916</v>
      </c>
      <c r="C230" t="s">
        <v>23</v>
      </c>
      <c r="D230" t="s">
        <v>9</v>
      </c>
      <c r="E230" s="16" t="s">
        <v>31</v>
      </c>
      <c r="F230" s="16" t="s">
        <v>28</v>
      </c>
      <c r="G230" t="s">
        <v>12</v>
      </c>
      <c r="H230" t="str">
        <f t="shared" si="3"/>
        <v>Morning</v>
      </c>
    </row>
    <row r="231" spans="1:8">
      <c r="A231" t="s">
        <v>160</v>
      </c>
      <c r="B231" s="23">
        <v>45767</v>
      </c>
      <c r="C231" t="s">
        <v>8</v>
      </c>
      <c r="D231" t="s">
        <v>9</v>
      </c>
      <c r="E231" s="16" t="s">
        <v>82</v>
      </c>
      <c r="F231" s="16" t="s">
        <v>211</v>
      </c>
      <c r="G231" t="s">
        <v>33</v>
      </c>
      <c r="H231" t="str">
        <f t="shared" si="3"/>
        <v>Evening</v>
      </c>
    </row>
    <row r="232" spans="1:8">
      <c r="A232" t="s">
        <v>89</v>
      </c>
      <c r="B232" s="23">
        <v>45780</v>
      </c>
      <c r="C232" t="s">
        <v>35</v>
      </c>
      <c r="D232" t="s">
        <v>9</v>
      </c>
      <c r="E232" s="16">
        <v>0.33958333333333335</v>
      </c>
      <c r="F232" s="16" t="s">
        <v>61</v>
      </c>
      <c r="G232" t="s">
        <v>21</v>
      </c>
      <c r="H232" t="str">
        <f t="shared" si="3"/>
        <v>Morning</v>
      </c>
    </row>
    <row r="233" spans="1:8">
      <c r="A233" t="s">
        <v>70</v>
      </c>
      <c r="B233" s="23">
        <v>45868</v>
      </c>
      <c r="C233" t="s">
        <v>23</v>
      </c>
      <c r="D233" t="s">
        <v>9</v>
      </c>
      <c r="E233" s="16" t="s">
        <v>43</v>
      </c>
      <c r="F233" s="16" t="s">
        <v>67</v>
      </c>
      <c r="G233" t="s">
        <v>12</v>
      </c>
      <c r="H233" t="str">
        <f t="shared" si="3"/>
        <v>Morning</v>
      </c>
    </row>
    <row r="234" spans="1:8">
      <c r="A234" t="s">
        <v>79</v>
      </c>
      <c r="B234" s="23">
        <v>45658</v>
      </c>
      <c r="C234" t="s">
        <v>35</v>
      </c>
      <c r="D234" t="s">
        <v>18</v>
      </c>
      <c r="E234" s="16" t="s">
        <v>219</v>
      </c>
      <c r="F234" s="16" t="s">
        <v>11</v>
      </c>
      <c r="G234" t="s">
        <v>21</v>
      </c>
      <c r="H234" t="str">
        <f t="shared" si="3"/>
        <v>Evening</v>
      </c>
    </row>
    <row r="235" spans="1:8">
      <c r="A235" t="s">
        <v>56</v>
      </c>
      <c r="B235" s="23">
        <v>46122</v>
      </c>
      <c r="C235" t="s">
        <v>26</v>
      </c>
      <c r="D235" t="s">
        <v>9</v>
      </c>
      <c r="E235" s="16" t="s">
        <v>220</v>
      </c>
      <c r="F235" s="16" t="s">
        <v>69</v>
      </c>
      <c r="G235" t="s">
        <v>21</v>
      </c>
      <c r="H235" t="str">
        <f t="shared" si="3"/>
        <v>Morning</v>
      </c>
    </row>
    <row r="236" spans="1:8">
      <c r="A236" t="s">
        <v>56</v>
      </c>
      <c r="B236" s="23">
        <v>46191</v>
      </c>
      <c r="C236" t="s">
        <v>14</v>
      </c>
      <c r="D236" t="s">
        <v>18</v>
      </c>
      <c r="E236" s="16">
        <v>0.58680555555555558</v>
      </c>
      <c r="F236" s="16" t="s">
        <v>55</v>
      </c>
      <c r="G236" t="s">
        <v>21</v>
      </c>
      <c r="H236" t="str">
        <f t="shared" si="3"/>
        <v>Evening</v>
      </c>
    </row>
    <row r="237" spans="1:8">
      <c r="A237" t="s">
        <v>132</v>
      </c>
      <c r="B237" s="23">
        <v>45873</v>
      </c>
      <c r="C237" t="s">
        <v>14</v>
      </c>
      <c r="D237" t="s">
        <v>9</v>
      </c>
      <c r="E237" s="16" t="s">
        <v>221</v>
      </c>
      <c r="F237" s="16" t="s">
        <v>61</v>
      </c>
      <c r="G237" t="s">
        <v>21</v>
      </c>
      <c r="H237" t="str">
        <f t="shared" si="3"/>
        <v>Morning</v>
      </c>
    </row>
    <row r="238" spans="1:8">
      <c r="A238" t="s">
        <v>203</v>
      </c>
      <c r="B238" s="23">
        <v>45750</v>
      </c>
      <c r="C238" t="s">
        <v>30</v>
      </c>
      <c r="D238" t="s">
        <v>9</v>
      </c>
      <c r="E238" s="16" t="s">
        <v>222</v>
      </c>
      <c r="F238" s="16" t="s">
        <v>104</v>
      </c>
      <c r="G238" t="s">
        <v>21</v>
      </c>
      <c r="H238" t="str">
        <f t="shared" si="3"/>
        <v>Morning</v>
      </c>
    </row>
    <row r="239" spans="1:8">
      <c r="A239" t="s">
        <v>192</v>
      </c>
      <c r="B239" s="23">
        <v>45982</v>
      </c>
      <c r="C239" t="s">
        <v>23</v>
      </c>
      <c r="D239" t="s">
        <v>9</v>
      </c>
      <c r="E239" s="16" t="s">
        <v>144</v>
      </c>
      <c r="F239" s="16" t="s">
        <v>16</v>
      </c>
      <c r="G239" t="s">
        <v>33</v>
      </c>
      <c r="H239" t="str">
        <f t="shared" si="3"/>
        <v>Evening</v>
      </c>
    </row>
    <row r="240" spans="1:8">
      <c r="A240" t="s">
        <v>42</v>
      </c>
      <c r="B240" s="23">
        <v>45671</v>
      </c>
      <c r="C240" t="s">
        <v>23</v>
      </c>
      <c r="D240" t="s">
        <v>18</v>
      </c>
      <c r="E240" s="16" t="s">
        <v>47</v>
      </c>
      <c r="F240" s="16" t="s">
        <v>115</v>
      </c>
      <c r="G240" t="s">
        <v>12</v>
      </c>
      <c r="H240" t="str">
        <f t="shared" si="3"/>
        <v>Morning</v>
      </c>
    </row>
    <row r="241" spans="1:8">
      <c r="A241" t="s">
        <v>76</v>
      </c>
      <c r="B241" s="23">
        <v>45823</v>
      </c>
      <c r="C241" t="s">
        <v>30</v>
      </c>
      <c r="D241" t="s">
        <v>9</v>
      </c>
      <c r="E241" s="16" t="s">
        <v>222</v>
      </c>
      <c r="F241" s="16" t="s">
        <v>120</v>
      </c>
      <c r="G241" t="s">
        <v>21</v>
      </c>
      <c r="H241" t="str">
        <f t="shared" si="3"/>
        <v>Morning</v>
      </c>
    </row>
    <row r="242" spans="1:8">
      <c r="A242" t="s">
        <v>80</v>
      </c>
      <c r="B242" s="23">
        <v>46189</v>
      </c>
      <c r="C242" t="s">
        <v>23</v>
      </c>
      <c r="D242" t="s">
        <v>18</v>
      </c>
      <c r="E242" s="16" t="s">
        <v>43</v>
      </c>
      <c r="F242" s="16" t="s">
        <v>48</v>
      </c>
      <c r="G242" t="s">
        <v>12</v>
      </c>
      <c r="H242" t="str">
        <f t="shared" si="3"/>
        <v>Morning</v>
      </c>
    </row>
    <row r="243" spans="1:8">
      <c r="A243" t="s">
        <v>114</v>
      </c>
      <c r="B243" s="23">
        <v>45895</v>
      </c>
      <c r="C243" t="s">
        <v>30</v>
      </c>
      <c r="D243" t="s">
        <v>9</v>
      </c>
      <c r="E243" s="16" t="s">
        <v>43</v>
      </c>
      <c r="F243" s="16" t="s">
        <v>94</v>
      </c>
      <c r="G243" t="s">
        <v>12</v>
      </c>
      <c r="H243" t="str">
        <f t="shared" si="3"/>
        <v>Morning</v>
      </c>
    </row>
    <row r="244" spans="1:8">
      <c r="A244" t="s">
        <v>25</v>
      </c>
      <c r="B244" s="23">
        <v>45968</v>
      </c>
      <c r="C244" t="s">
        <v>14</v>
      </c>
      <c r="D244" t="s">
        <v>18</v>
      </c>
      <c r="E244" s="16" t="s">
        <v>15</v>
      </c>
      <c r="F244" s="16" t="s">
        <v>126</v>
      </c>
      <c r="G244" t="s">
        <v>33</v>
      </c>
      <c r="H244" t="str">
        <f t="shared" si="3"/>
        <v>Evening</v>
      </c>
    </row>
    <row r="245" spans="1:8">
      <c r="A245" t="s">
        <v>17</v>
      </c>
      <c r="B245" s="23">
        <v>46042</v>
      </c>
      <c r="C245" t="s">
        <v>23</v>
      </c>
      <c r="D245" t="s">
        <v>9</v>
      </c>
      <c r="E245" s="16" t="s">
        <v>47</v>
      </c>
      <c r="F245" s="16" t="s">
        <v>120</v>
      </c>
      <c r="G245" t="s">
        <v>12</v>
      </c>
      <c r="H245" t="str">
        <f t="shared" si="3"/>
        <v>Morning</v>
      </c>
    </row>
    <row r="246" spans="1:8">
      <c r="A246" t="s">
        <v>87</v>
      </c>
      <c r="B246" s="23">
        <v>45779</v>
      </c>
      <c r="C246" t="s">
        <v>23</v>
      </c>
      <c r="D246" t="s">
        <v>9</v>
      </c>
      <c r="E246" s="16" t="s">
        <v>40</v>
      </c>
      <c r="F246" s="16" t="s">
        <v>40</v>
      </c>
      <c r="G246" t="s">
        <v>41</v>
      </c>
      <c r="H246" t="str">
        <f t="shared" si="3"/>
        <v>Morning</v>
      </c>
    </row>
    <row r="247" spans="1:8">
      <c r="A247" t="s">
        <v>57</v>
      </c>
      <c r="B247" s="23">
        <v>46182</v>
      </c>
      <c r="C247" t="s">
        <v>23</v>
      </c>
      <c r="D247" t="s">
        <v>9</v>
      </c>
      <c r="E247" s="16" t="s">
        <v>66</v>
      </c>
      <c r="F247" s="16" t="s">
        <v>59</v>
      </c>
      <c r="G247" t="s">
        <v>12</v>
      </c>
      <c r="H247" t="str">
        <f t="shared" si="3"/>
        <v>Morning</v>
      </c>
    </row>
    <row r="248" spans="1:8">
      <c r="A248" t="s">
        <v>119</v>
      </c>
      <c r="B248" s="23">
        <v>46232</v>
      </c>
      <c r="C248" t="s">
        <v>8</v>
      </c>
      <c r="D248" t="s">
        <v>9</v>
      </c>
      <c r="E248" s="16" t="s">
        <v>135</v>
      </c>
      <c r="F248" s="16" t="s">
        <v>88</v>
      </c>
      <c r="G248" t="s">
        <v>12</v>
      </c>
      <c r="H248" t="str">
        <f t="shared" si="3"/>
        <v>Evening</v>
      </c>
    </row>
    <row r="249" spans="1:8">
      <c r="A249" t="s">
        <v>84</v>
      </c>
      <c r="B249" s="23">
        <v>45732</v>
      </c>
      <c r="C249" t="s">
        <v>26</v>
      </c>
      <c r="D249" t="s">
        <v>9</v>
      </c>
      <c r="E249" s="16" t="s">
        <v>193</v>
      </c>
      <c r="F249" s="16" t="s">
        <v>55</v>
      </c>
      <c r="G249" t="s">
        <v>12</v>
      </c>
      <c r="H249" t="str">
        <f t="shared" si="3"/>
        <v>Morning</v>
      </c>
    </row>
    <row r="250" spans="1:8">
      <c r="A250" t="s">
        <v>49</v>
      </c>
      <c r="B250" s="23">
        <v>45776</v>
      </c>
      <c r="C250" t="s">
        <v>26</v>
      </c>
      <c r="D250" t="s">
        <v>9</v>
      </c>
      <c r="E250" s="16" t="s">
        <v>97</v>
      </c>
      <c r="F250" s="16" t="s">
        <v>108</v>
      </c>
      <c r="G250" t="s">
        <v>12</v>
      </c>
      <c r="H250" t="str">
        <f t="shared" si="3"/>
        <v>Evening</v>
      </c>
    </row>
    <row r="251" spans="1:8">
      <c r="A251" t="s">
        <v>73</v>
      </c>
      <c r="B251" s="23">
        <v>45764</v>
      </c>
      <c r="C251" t="s">
        <v>14</v>
      </c>
      <c r="D251" t="s">
        <v>9</v>
      </c>
      <c r="E251" s="16" t="s">
        <v>47</v>
      </c>
      <c r="F251" s="16" t="s">
        <v>146</v>
      </c>
      <c r="G251" t="s">
        <v>12</v>
      </c>
      <c r="H251" t="str">
        <f t="shared" si="3"/>
        <v>Morning</v>
      </c>
    </row>
    <row r="252" spans="1:8">
      <c r="A252" t="s">
        <v>51</v>
      </c>
      <c r="B252" s="23">
        <v>45873</v>
      </c>
      <c r="C252" t="s">
        <v>23</v>
      </c>
      <c r="D252" t="s">
        <v>9</v>
      </c>
      <c r="E252" s="16" t="s">
        <v>144</v>
      </c>
      <c r="F252" s="16" t="s">
        <v>116</v>
      </c>
      <c r="G252" t="s">
        <v>12</v>
      </c>
      <c r="H252" t="str">
        <f t="shared" si="3"/>
        <v>Evening</v>
      </c>
    </row>
    <row r="253" spans="1:8">
      <c r="A253" t="s">
        <v>71</v>
      </c>
      <c r="B253" s="23">
        <v>46069</v>
      </c>
      <c r="C253" t="s">
        <v>23</v>
      </c>
      <c r="D253" t="s">
        <v>9</v>
      </c>
      <c r="E253" s="16" t="s">
        <v>74</v>
      </c>
      <c r="F253" s="16" t="s">
        <v>11</v>
      </c>
      <c r="G253" t="s">
        <v>12</v>
      </c>
      <c r="H253" t="str">
        <f t="shared" si="3"/>
        <v>Evening</v>
      </c>
    </row>
    <row r="254" spans="1:8">
      <c r="A254" t="s">
        <v>167</v>
      </c>
      <c r="B254" s="23">
        <v>46020</v>
      </c>
      <c r="C254" t="s">
        <v>26</v>
      </c>
      <c r="D254" t="s">
        <v>18</v>
      </c>
      <c r="E254" s="16" t="s">
        <v>58</v>
      </c>
      <c r="F254" s="16" t="s">
        <v>32</v>
      </c>
      <c r="G254" t="s">
        <v>33</v>
      </c>
      <c r="H254" t="str">
        <f t="shared" si="3"/>
        <v>Morning</v>
      </c>
    </row>
    <row r="255" spans="1:8">
      <c r="A255" t="s">
        <v>223</v>
      </c>
      <c r="B255" s="23">
        <v>45831</v>
      </c>
      <c r="C255" t="s">
        <v>26</v>
      </c>
      <c r="D255" t="s">
        <v>18</v>
      </c>
      <c r="E255" s="16" t="s">
        <v>52</v>
      </c>
      <c r="F255" s="16" t="s">
        <v>48</v>
      </c>
      <c r="G255" t="s">
        <v>12</v>
      </c>
      <c r="H255" t="str">
        <f t="shared" si="3"/>
        <v>Morning</v>
      </c>
    </row>
    <row r="256" spans="1:8">
      <c r="A256" t="s">
        <v>70</v>
      </c>
      <c r="B256" s="23">
        <v>45858</v>
      </c>
      <c r="C256" t="s">
        <v>23</v>
      </c>
      <c r="D256" t="s">
        <v>9</v>
      </c>
      <c r="E256" s="16" t="s">
        <v>54</v>
      </c>
      <c r="F256" s="16" t="s">
        <v>24</v>
      </c>
      <c r="G256" t="s">
        <v>12</v>
      </c>
      <c r="H256" t="str">
        <f t="shared" si="3"/>
        <v>Morning</v>
      </c>
    </row>
    <row r="257" spans="1:8">
      <c r="A257" t="s">
        <v>205</v>
      </c>
      <c r="B257" s="23">
        <v>45872</v>
      </c>
      <c r="C257" t="s">
        <v>30</v>
      </c>
      <c r="D257" t="s">
        <v>9</v>
      </c>
      <c r="E257" s="16" t="s">
        <v>123</v>
      </c>
      <c r="F257" s="16">
        <v>0.71319444444444446</v>
      </c>
      <c r="G257" t="s">
        <v>12</v>
      </c>
      <c r="H257" t="str">
        <f t="shared" si="3"/>
        <v>Morning</v>
      </c>
    </row>
    <row r="258" spans="1:8">
      <c r="A258" t="s">
        <v>156</v>
      </c>
      <c r="B258" s="23">
        <v>45773</v>
      </c>
      <c r="C258" t="s">
        <v>8</v>
      </c>
      <c r="D258" t="s">
        <v>9</v>
      </c>
      <c r="E258" s="16" t="s">
        <v>52</v>
      </c>
      <c r="F258" s="16" t="s">
        <v>94</v>
      </c>
      <c r="G258" t="s">
        <v>12</v>
      </c>
      <c r="H258" t="str">
        <f t="shared" si="3"/>
        <v>Morning</v>
      </c>
    </row>
    <row r="259" spans="1:8">
      <c r="A259" t="s">
        <v>56</v>
      </c>
      <c r="B259" s="23">
        <v>46058</v>
      </c>
      <c r="C259" t="s">
        <v>23</v>
      </c>
      <c r="D259" t="s">
        <v>9</v>
      </c>
      <c r="E259" s="16" t="s">
        <v>111</v>
      </c>
      <c r="F259" s="16" t="s">
        <v>146</v>
      </c>
      <c r="G259" t="s">
        <v>12</v>
      </c>
      <c r="H259" t="str">
        <f t="shared" si="3"/>
        <v>Morning</v>
      </c>
    </row>
    <row r="260" spans="1:8">
      <c r="A260" t="s">
        <v>129</v>
      </c>
      <c r="B260" s="23">
        <v>46063</v>
      </c>
      <c r="C260" t="s">
        <v>14</v>
      </c>
      <c r="D260" t="s">
        <v>9</v>
      </c>
      <c r="E260" s="16" t="s">
        <v>40</v>
      </c>
      <c r="G260" t="s">
        <v>41</v>
      </c>
      <c r="H260" t="str">
        <f t="shared" si="3"/>
        <v>Morning</v>
      </c>
    </row>
    <row r="261" spans="1:8">
      <c r="A261" t="s">
        <v>89</v>
      </c>
      <c r="B261" s="23">
        <v>46047</v>
      </c>
      <c r="C261" t="s">
        <v>30</v>
      </c>
      <c r="D261" t="s">
        <v>9</v>
      </c>
      <c r="E261" s="16" t="s">
        <v>50</v>
      </c>
      <c r="F261" s="16" t="s">
        <v>120</v>
      </c>
      <c r="G261" t="s">
        <v>12</v>
      </c>
      <c r="H261" t="str">
        <f t="shared" si="3"/>
        <v>Morning</v>
      </c>
    </row>
    <row r="262" spans="1:8">
      <c r="A262" t="s">
        <v>34</v>
      </c>
      <c r="B262" s="23">
        <v>45854</v>
      </c>
      <c r="C262" t="s">
        <v>26</v>
      </c>
      <c r="D262" t="s">
        <v>9</v>
      </c>
      <c r="E262" s="16" t="s">
        <v>97</v>
      </c>
      <c r="F262" s="16" t="s">
        <v>136</v>
      </c>
      <c r="G262" t="s">
        <v>12</v>
      </c>
      <c r="H262" t="str">
        <f t="shared" si="3"/>
        <v>Evening</v>
      </c>
    </row>
  </sheetData>
  <pageMargins left="0.7" right="0.7" top="0.75" bottom="0.75" header="0.3" footer="0.3"/>
  <tableParts count="6">
    <tablePart r:id="rId1"/>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529B-20BE-4893-AB73-B81BAF0207C8}">
  <dimension ref="A3:F65"/>
  <sheetViews>
    <sheetView tabSelected="1" topLeftCell="A34" workbookViewId="0">
      <selection activeCell="T45" sqref="T45"/>
    </sheetView>
  </sheetViews>
  <sheetFormatPr defaultRowHeight="15"/>
  <cols>
    <col min="1" max="1" width="13.140625" bestFit="1" customWidth="1"/>
    <col min="2" max="2" width="21" bestFit="1" customWidth="1"/>
    <col min="3" max="3" width="4.7109375" bestFit="1" customWidth="1"/>
    <col min="4" max="4" width="7.85546875" bestFit="1" customWidth="1"/>
    <col min="5" max="5" width="8" bestFit="1" customWidth="1"/>
    <col min="6" max="6" width="11.28515625" bestFit="1" customWidth="1"/>
  </cols>
  <sheetData>
    <row r="3" spans="1:6">
      <c r="A3" s="7" t="s">
        <v>259</v>
      </c>
      <c r="B3" s="7" t="s">
        <v>258</v>
      </c>
    </row>
    <row r="4" spans="1:6">
      <c r="A4" s="7" t="s">
        <v>256</v>
      </c>
      <c r="B4" t="s">
        <v>41</v>
      </c>
      <c r="C4" t="s">
        <v>21</v>
      </c>
      <c r="D4" t="s">
        <v>12</v>
      </c>
      <c r="E4" t="s">
        <v>33</v>
      </c>
      <c r="F4" t="s">
        <v>257</v>
      </c>
    </row>
    <row r="5" spans="1:6">
      <c r="A5" s="8" t="s">
        <v>8</v>
      </c>
      <c r="B5" s="33">
        <v>2</v>
      </c>
      <c r="C5" s="33">
        <v>6</v>
      </c>
      <c r="D5" s="33">
        <v>16</v>
      </c>
      <c r="E5" s="33">
        <v>6</v>
      </c>
      <c r="F5" s="33">
        <v>30</v>
      </c>
    </row>
    <row r="6" spans="1:6">
      <c r="A6" s="8" t="s">
        <v>30</v>
      </c>
      <c r="B6" s="33">
        <v>3</v>
      </c>
      <c r="C6" s="33">
        <v>9</v>
      </c>
      <c r="D6" s="33">
        <v>30</v>
      </c>
      <c r="E6" s="33">
        <v>3</v>
      </c>
      <c r="F6" s="33">
        <v>45</v>
      </c>
    </row>
    <row r="7" spans="1:6">
      <c r="A7" s="8" t="s">
        <v>14</v>
      </c>
      <c r="B7" s="33">
        <v>1</v>
      </c>
      <c r="C7" s="33">
        <v>2</v>
      </c>
      <c r="D7" s="33">
        <v>15</v>
      </c>
      <c r="E7" s="33">
        <v>2</v>
      </c>
      <c r="F7" s="33">
        <v>20</v>
      </c>
    </row>
    <row r="8" spans="1:6">
      <c r="A8" s="8" t="s">
        <v>23</v>
      </c>
      <c r="B8" s="33">
        <v>7</v>
      </c>
      <c r="C8" s="33">
        <v>13</v>
      </c>
      <c r="D8" s="33">
        <v>49</v>
      </c>
      <c r="E8" s="33">
        <v>7</v>
      </c>
      <c r="F8" s="33">
        <v>76</v>
      </c>
    </row>
    <row r="9" spans="1:6">
      <c r="A9" s="8" t="s">
        <v>26</v>
      </c>
      <c r="B9" s="33">
        <v>2</v>
      </c>
      <c r="C9" s="33">
        <v>6</v>
      </c>
      <c r="D9" s="33">
        <v>36</v>
      </c>
      <c r="E9" s="33">
        <v>7</v>
      </c>
      <c r="F9" s="33">
        <v>51</v>
      </c>
    </row>
    <row r="10" spans="1:6">
      <c r="A10" s="8" t="s">
        <v>35</v>
      </c>
      <c r="B10" s="33">
        <v>6</v>
      </c>
      <c r="C10" s="33">
        <v>9</v>
      </c>
      <c r="D10" s="33">
        <v>22</v>
      </c>
      <c r="E10" s="33">
        <v>2</v>
      </c>
      <c r="F10" s="33">
        <v>39</v>
      </c>
    </row>
    <row r="11" spans="1:6">
      <c r="A11" s="8" t="s">
        <v>257</v>
      </c>
      <c r="B11" s="33">
        <v>21</v>
      </c>
      <c r="C11" s="33">
        <v>45</v>
      </c>
      <c r="D11" s="33">
        <v>168</v>
      </c>
      <c r="E11" s="33">
        <v>27</v>
      </c>
      <c r="F11" s="33">
        <v>261</v>
      </c>
    </row>
    <row r="19" spans="1:2">
      <c r="A19" s="7" t="s">
        <v>256</v>
      </c>
      <c r="B19" t="s">
        <v>259</v>
      </c>
    </row>
    <row r="20" spans="1:2">
      <c r="A20" s="8" t="s">
        <v>8</v>
      </c>
      <c r="B20" s="33">
        <v>30</v>
      </c>
    </row>
    <row r="21" spans="1:2">
      <c r="A21" s="8" t="s">
        <v>30</v>
      </c>
      <c r="B21" s="33">
        <v>45</v>
      </c>
    </row>
    <row r="22" spans="1:2">
      <c r="A22" s="8" t="s">
        <v>14</v>
      </c>
      <c r="B22" s="33">
        <v>20</v>
      </c>
    </row>
    <row r="23" spans="1:2">
      <c r="A23" s="8" t="s">
        <v>23</v>
      </c>
      <c r="B23" s="33">
        <v>76</v>
      </c>
    </row>
    <row r="24" spans="1:2">
      <c r="A24" s="8" t="s">
        <v>26</v>
      </c>
      <c r="B24" s="33">
        <v>51</v>
      </c>
    </row>
    <row r="25" spans="1:2">
      <c r="A25" s="8" t="s">
        <v>35</v>
      </c>
      <c r="B25" s="33">
        <v>39</v>
      </c>
    </row>
    <row r="26" spans="1:2">
      <c r="A26" s="8" t="s">
        <v>257</v>
      </c>
      <c r="B26" s="33">
        <v>261</v>
      </c>
    </row>
    <row r="39" spans="1:6">
      <c r="A39" s="7" t="s">
        <v>259</v>
      </c>
      <c r="B39" s="7" t="s">
        <v>258</v>
      </c>
    </row>
    <row r="40" spans="1:6">
      <c r="A40" s="7" t="s">
        <v>256</v>
      </c>
      <c r="B40" t="s">
        <v>41</v>
      </c>
      <c r="C40" t="s">
        <v>21</v>
      </c>
      <c r="D40" t="s">
        <v>12</v>
      </c>
      <c r="E40" t="s">
        <v>33</v>
      </c>
      <c r="F40" t="s">
        <v>257</v>
      </c>
    </row>
    <row r="41" spans="1:6">
      <c r="A41" s="8" t="s">
        <v>18</v>
      </c>
      <c r="B41" s="33">
        <v>6</v>
      </c>
      <c r="C41" s="33">
        <v>16</v>
      </c>
      <c r="D41" s="33">
        <v>58</v>
      </c>
      <c r="E41" s="33">
        <v>8</v>
      </c>
      <c r="F41" s="33">
        <v>88</v>
      </c>
    </row>
    <row r="42" spans="1:6">
      <c r="A42" s="8" t="s">
        <v>9</v>
      </c>
      <c r="B42" s="33">
        <v>15</v>
      </c>
      <c r="C42" s="33">
        <v>29</v>
      </c>
      <c r="D42" s="33">
        <v>110</v>
      </c>
      <c r="E42" s="33">
        <v>19</v>
      </c>
      <c r="F42" s="33">
        <v>173</v>
      </c>
    </row>
    <row r="43" spans="1:6">
      <c r="A43" s="8" t="s">
        <v>257</v>
      </c>
      <c r="B43" s="33">
        <v>21</v>
      </c>
      <c r="C43" s="33">
        <v>45</v>
      </c>
      <c r="D43" s="33">
        <v>168</v>
      </c>
      <c r="E43" s="33">
        <v>27</v>
      </c>
      <c r="F43" s="33">
        <v>261</v>
      </c>
    </row>
    <row r="60" spans="1:2">
      <c r="A60" s="7" t="s">
        <v>256</v>
      </c>
      <c r="B60" t="s">
        <v>259</v>
      </c>
    </row>
    <row r="61" spans="1:2">
      <c r="A61" s="8" t="s">
        <v>41</v>
      </c>
      <c r="B61" s="33">
        <v>21</v>
      </c>
    </row>
    <row r="62" spans="1:2">
      <c r="A62" s="8" t="s">
        <v>21</v>
      </c>
      <c r="B62" s="33">
        <v>45</v>
      </c>
    </row>
    <row r="63" spans="1:2">
      <c r="A63" s="8" t="s">
        <v>12</v>
      </c>
      <c r="B63" s="33">
        <v>168</v>
      </c>
    </row>
    <row r="64" spans="1:2">
      <c r="A64" s="8" t="s">
        <v>33</v>
      </c>
      <c r="B64" s="33">
        <v>27</v>
      </c>
    </row>
    <row r="65" spans="1:2">
      <c r="A65" s="8" t="s">
        <v>257</v>
      </c>
      <c r="B65" s="33">
        <v>261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6E9E-6060-45D0-8717-2939D6A2EDA9}">
  <dimension ref="A1:Y7"/>
  <sheetViews>
    <sheetView topLeftCell="A7" zoomScale="90" zoomScaleNormal="90" workbookViewId="0">
      <selection activeCell="S2" sqref="S2"/>
    </sheetView>
  </sheetViews>
  <sheetFormatPr defaultRowHeight="15"/>
  <cols>
    <col min="2" max="2" width="12.5703125" customWidth="1"/>
    <col min="4" max="4" width="12.85546875" bestFit="1" customWidth="1"/>
    <col min="5" max="5" width="10.7109375" customWidth="1"/>
    <col min="6" max="6" width="9.140625" customWidth="1"/>
    <col min="11" max="11" width="14.5703125" customWidth="1"/>
  </cols>
  <sheetData>
    <row r="1" spans="1:25">
      <c r="A1" s="11"/>
      <c r="B1" s="11"/>
      <c r="C1" s="11"/>
      <c r="D1" s="11"/>
      <c r="E1" s="11"/>
      <c r="F1" s="11"/>
      <c r="G1" s="11"/>
      <c r="H1" s="11"/>
      <c r="I1" s="11"/>
      <c r="J1" s="11"/>
      <c r="K1" s="11"/>
      <c r="L1" s="11"/>
      <c r="M1" s="11"/>
      <c r="N1" s="11"/>
      <c r="O1" s="11"/>
      <c r="P1" s="11"/>
      <c r="Q1" s="11"/>
      <c r="R1" s="13"/>
      <c r="Y1" s="11"/>
    </row>
    <row r="2" spans="1:25" ht="31.5">
      <c r="A2" s="11"/>
      <c r="B2" s="11"/>
      <c r="C2" s="12"/>
      <c r="D2" s="12"/>
      <c r="E2" s="12" t="s">
        <v>260</v>
      </c>
      <c r="F2" s="12"/>
      <c r="G2" s="11"/>
      <c r="H2" s="12"/>
      <c r="I2" s="12"/>
      <c r="J2" s="12"/>
      <c r="K2" s="12"/>
      <c r="L2" s="12"/>
      <c r="M2" s="12"/>
      <c r="N2" s="12"/>
      <c r="O2" s="11"/>
      <c r="P2" s="11"/>
      <c r="Q2" s="11"/>
      <c r="R2" s="13"/>
      <c r="Y2" s="11"/>
    </row>
    <row r="3" spans="1:25">
      <c r="A3" s="11"/>
      <c r="B3" s="11"/>
      <c r="C3" s="24"/>
      <c r="D3" s="24"/>
      <c r="E3" s="24"/>
      <c r="F3" s="24"/>
      <c r="G3" s="11"/>
      <c r="H3" s="11"/>
      <c r="I3" s="11"/>
      <c r="J3" s="11"/>
      <c r="K3" s="11"/>
      <c r="L3" s="11"/>
      <c r="M3" s="11"/>
      <c r="N3" s="11"/>
      <c r="O3" s="11"/>
      <c r="P3" s="11"/>
      <c r="Q3" s="11"/>
      <c r="R3" s="13"/>
      <c r="Y3" s="11"/>
    </row>
    <row r="4" spans="1:25">
      <c r="A4" s="11"/>
      <c r="B4" s="11"/>
      <c r="C4" s="11"/>
      <c r="D4" s="11"/>
      <c r="E4" s="11"/>
      <c r="F4" s="11"/>
      <c r="G4" s="11"/>
      <c r="H4" s="11"/>
      <c r="I4" s="11"/>
      <c r="J4" s="11"/>
      <c r="K4" s="11"/>
      <c r="L4" s="11"/>
      <c r="M4" s="11"/>
      <c r="N4" s="11"/>
      <c r="O4" s="11"/>
      <c r="P4" s="11"/>
      <c r="Q4" s="11"/>
      <c r="R4" s="13"/>
      <c r="Y4" s="11"/>
    </row>
    <row r="6" spans="1:25" ht="18.75">
      <c r="B6" s="10"/>
      <c r="D6" s="25" t="s">
        <v>261</v>
      </c>
      <c r="E6" s="25"/>
      <c r="F6" s="14"/>
      <c r="G6" s="20"/>
      <c r="H6" s="21" t="s">
        <v>12</v>
      </c>
      <c r="I6" s="21"/>
      <c r="K6" s="32" t="s">
        <v>21</v>
      </c>
      <c r="L6" s="32"/>
      <c r="N6" s="28" t="s">
        <v>41</v>
      </c>
      <c r="O6" s="28"/>
      <c r="Q6" s="30" t="s">
        <v>33</v>
      </c>
      <c r="R6" s="30"/>
    </row>
    <row r="7" spans="1:25" ht="28.5">
      <c r="B7" s="9"/>
      <c r="D7" s="26">
        <f>COUNTA('cleaned-data'!A2:A262)</f>
        <v>261</v>
      </c>
      <c r="E7" s="26"/>
      <c r="F7" s="15"/>
      <c r="G7" s="20"/>
      <c r="H7" s="22">
        <f>COUNTIF('cleaned-data'!G2:G262,"Present")</f>
        <v>168</v>
      </c>
      <c r="I7" s="22"/>
      <c r="K7" s="27">
        <f>COUNTIF('cleaned-data'!G2:G262,"Late")</f>
        <v>45</v>
      </c>
      <c r="L7" s="27"/>
      <c r="N7" s="29">
        <f>COUNTIF('cleaned-data'!G2:G262,"Absent")</f>
        <v>21</v>
      </c>
      <c r="O7" s="29"/>
      <c r="Q7" s="31">
        <f>COUNTIF('cleaned-data'!G2:G262,"Remote")</f>
        <v>27</v>
      </c>
      <c r="R7" s="31"/>
    </row>
  </sheetData>
  <mergeCells count="9">
    <mergeCell ref="Q6:R6"/>
    <mergeCell ref="Q7:R7"/>
    <mergeCell ref="K6:L6"/>
    <mergeCell ref="C3:F3"/>
    <mergeCell ref="D6:E6"/>
    <mergeCell ref="D7:E7"/>
    <mergeCell ref="K7:L7"/>
    <mergeCell ref="N6:O6"/>
    <mergeCell ref="N7:O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D7E6-F880-46FE-81A9-BDE6DFE5A426}">
  <dimension ref="A2:A19"/>
  <sheetViews>
    <sheetView workbookViewId="0">
      <selection activeCell="G23" sqref="G23"/>
    </sheetView>
  </sheetViews>
  <sheetFormatPr defaultRowHeight="15"/>
  <sheetData>
    <row r="2" spans="1:1" ht="18">
      <c r="A2" s="17" t="s">
        <v>262</v>
      </c>
    </row>
    <row r="3" spans="1:1">
      <c r="A3" s="18"/>
    </row>
    <row r="4" spans="1:1">
      <c r="A4" s="18" t="s">
        <v>263</v>
      </c>
    </row>
    <row r="5" spans="1:1">
      <c r="A5" s="19" t="s">
        <v>264</v>
      </c>
    </row>
    <row r="6" spans="1:1">
      <c r="A6" s="19" t="s">
        <v>265</v>
      </c>
    </row>
    <row r="7" spans="1:1">
      <c r="A7" s="19" t="s">
        <v>266</v>
      </c>
    </row>
    <row r="8" spans="1:1">
      <c r="A8" s="18" t="s">
        <v>267</v>
      </c>
    </row>
    <row r="9" spans="1:1">
      <c r="A9" s="19" t="s">
        <v>268</v>
      </c>
    </row>
    <row r="10" spans="1:1">
      <c r="A10" s="19" t="s">
        <v>269</v>
      </c>
    </row>
    <row r="11" spans="1:1">
      <c r="A11" s="18" t="s">
        <v>270</v>
      </c>
    </row>
    <row r="12" spans="1:1">
      <c r="A12" s="18" t="s">
        <v>271</v>
      </c>
    </row>
    <row r="14" spans="1:1" ht="18">
      <c r="A14" s="17" t="s">
        <v>272</v>
      </c>
    </row>
    <row r="15" spans="1:1">
      <c r="A15" s="18"/>
    </row>
    <row r="16" spans="1:1">
      <c r="A16" s="19" t="s">
        <v>273</v>
      </c>
    </row>
    <row r="17" spans="1:1">
      <c r="A17" s="19" t="s">
        <v>274</v>
      </c>
    </row>
    <row r="18" spans="1:1">
      <c r="A18" s="19" t="s">
        <v>275</v>
      </c>
    </row>
    <row r="19" spans="1:1">
      <c r="A19" s="19"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row-data</vt:lpstr>
      <vt:lpstr>cleaned-data</vt:lpstr>
      <vt:lpstr>PivotTables</vt:lpstr>
      <vt:lpstr>Dashbaord</vt:lpstr>
      <vt:lpstr>finding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Cabdi Cabdulaahi</dc:creator>
  <cp:lastModifiedBy>PHEYZAL MOHA</cp:lastModifiedBy>
  <dcterms:created xsi:type="dcterms:W3CDTF">2026-08-14T11:01:03Z</dcterms:created>
  <dcterms:modified xsi:type="dcterms:W3CDTF">2026-09-01T09:03:34Z</dcterms:modified>
</cp:coreProperties>
</file>